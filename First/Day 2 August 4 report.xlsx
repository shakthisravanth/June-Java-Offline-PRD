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1ae49c504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67242a936f4862"/>
    <x:sheet xmlns:r="http://schemas.openxmlformats.org/officeDocument/2006/relationships" name="Student Status" sheetId="2" r:id="R15f954155adb4bff"/>
    <x:sheet xmlns:r="http://schemas.openxmlformats.org/officeDocument/2006/relationships" name="Not Completed" sheetId="3" r:id="R2318cbb657624a9d"/>
    <x:sheet xmlns:r="http://schemas.openxmlformats.org/officeDocument/2006/relationships" name="Data Issues" sheetId="4" r:id="R7c65e7434cc2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20"/>
      <x:color rgb="FF17324D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i/>
      <x:sz val="11"/>
      <x:color rgb="FF667085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991B1B"/>
      <x:name val="Carlito"/>
    </x:font>
    <x:font>
      <x:b/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A"/>
      </x:patternFill>
    </x:fill>
    <x:fill>
      <x:patternFill patternType="solid">
        <x:fgColor rgb="FFDDF3E4"/>
      </x:patternFill>
    </x:fill>
    <x:fill>
      <x:patternFill patternType="solid">
        <x:fgColor rgb="FFFDE2E1"/>
      </x:patternFill>
    </x:fill>
    <x:fill>
      <x:patternFill patternType="solid">
        <x:fgColor rgb="FFFFF1CC"/>
      </x:patternFill>
    </x:fill>
    <x:fill>
      <x:patternFill patternType="solid">
        <x:fgColor rgb="FF1F4E78"/>
      </x:patternFill>
    </x:fill>
    <x:fill>
      <x:patternFill patternType="solid">
        <x:fgColor rgb="FF991B1B"/>
      </x:patternFill>
    </x:fill>
  </x:fills>
  <x:borders count="9">
    <x:border/>
    <x:border>
      <x:left style="thin">
        <x:color rgb="FFCCD4DD"/>
      </x:left>
      <x:top style="thin">
        <x:color rgb="FFCCD4DD"/>
      </x:top>
      <x:bottom style="thin">
        <x:color rgb="FFCCD4DD"/>
      </x:bottom>
    </x:border>
    <x:border>
      <x:right style="thin">
        <x:color rgb="FFCCD4DD"/>
      </x:right>
      <x:top style="thin">
        <x:color rgb="FFCCD4DD"/>
      </x:top>
      <x:bottom style="thin">
        <x:color rgb="FFCCD4DD"/>
      </x:bottom>
    </x:border>
    <x:border>
      <x:left style="thin">
        <x:color rgb="FFCCD4DD"/>
      </x:left>
      <x:top style="thin">
        <x:color rgb="FFCCD4DD"/>
      </x:top>
    </x:border>
    <x:border>
      <x:right style="thin">
        <x:color rgb="FFCCD4DD"/>
      </x:right>
      <x:top style="thin">
        <x:color rgb="FFCCD4DD"/>
      </x:top>
    </x:border>
    <x:border>
      <x:left style="thin">
        <x:color rgb="FFCCD4DD"/>
      </x:left>
      <x:bottom style="thin">
        <x:color rgb="FFCCD4DD"/>
      </x:bottom>
    </x:border>
    <x:border>
      <x:right style="thin">
        <x:color rgb="FFCCD4DD"/>
      </x:right>
      <x:bottom style="thin">
        <x:color rgb="FFCCD4DD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E0E5EB"/>
      </x:left>
      <x:right style="thin">
        <x:color rgb="FFE0E5EB"/>
      </x:right>
      <x:top style="thin">
        <x:color rgb="FFE0E5EB"/>
      </x:top>
      <x:bottom style="thin">
        <x:color rgb="FFE0E5EB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/>
    </x:xf>
    <x:xf numFmtId="0" fontId="3" fillId="6" borderId="6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7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8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/>
    <x:xf numFmtId="0" fontId="9" fillId="5" borderId="8" xfId="0" applyNumberFormat="1" applyFont="1" applyFill="1" applyBorder="1"/>
    <x:xf numFmtId="0" fontId="7" fillId="8" borderId="0" xfId="0" applyNumberFormat="1" applyFont="1" applyFill="1" applyBorder="1" applyAlignment="1">
      <x:alignment horizontal="center" wrapText="1"/>
    </x:xf>
    <x:xf numFmtId="0" fontId="0" fillId="6" borderId="8" xfId="0" applyNumberFormat="1" applyFont="1" applyFill="1" applyBorder="1"/>
    <x:xf numFmtId="0" fontId="10" fillId="6" borderId="8" xfId="0" applyNumberFormat="1" applyFont="1" applyFill="1" applyBorder="1"/>
    <x:xf numFmtId="0" fontId="7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92400E"/>
      </x:font>
      <x:fill>
        <x:patternFill>
          <x:bgColor rgb="FFFFF1CC"/>
        </x:patternFill>
      </x:fill>
    </x:dxf>
    <x:dxf>
      <x:font>
        <x:b/>
        <x:color rgb="FF991B1B"/>
      </x:font>
      <x:fill>
        <x:patternFill>
          <x:bgColor rgb="FFFDE2E1"/>
        </x:patternFill>
      </x:fill>
    </x:dxf>
    <x:dxf>
      <x:font>
        <x:b/>
        <x:color rgb="FF991B1B"/>
      </x:font>
      <x:fill>
        <x:patternFill>
          <x:bgColor rgb="FFFDE2E1"/>
        </x:patternFill>
      </x:fill>
    </x:dxf>
    <x:dxf>
      <x:font>
        <x:color rgb="FF166534"/>
      </x:font>
      <x:fill>
        <x:patternFill>
          <x:bgColor rgb="FFDDF3E4"/>
        </x:patternFill>
      </x:fill>
    </x:dxf>
    <x:dxf>
      <x:font>
        <x:b/>
        <x:color rgb="FF991B1B"/>
      </x:font>
      <x:fill>
        <x:patternFill>
          <x:bgColor rgb="FFFDE2E1"/>
        </x:patternFill>
      </x:fill>
    </x:dxf>
    <x:dxf>
      <x:font>
        <x:color rgb="FF237A43"/>
      </x:font>
      <x:fill>
        <x:patternFill>
          <x:bgColor rgb="FFDFF3E4"/>
        </x:patternFill>
      </x:fill>
    </x:dxf>
    <x:dxf>
      <x:font>
        <x:color rgb="FFB42318"/>
      </x:font>
      <x:fill>
        <x:patternFill>
          <x:bgColor rgb="FFFDE2E1"/>
        </x:patternFill>
      </x:fill>
    </x:dxf>
    <x:dxf>
      <x:font>
        <x:b/>
        <x:color rgb="FFB42318"/>
      </x:font>
      <x:fill>
        <x:patternFill>
          <x:bgColor rgb="FFFDE2E1"/>
        </x:patternFill>
      </x:fill>
    </x:dxf>
    <x:dxf>
      <x:font>
        <x:color rgb="FF237A43"/>
      </x:font>
      <x:fill>
        <x:patternFill>
          <x:bgColor rgb="FFDFF3E4"/>
        </x:patternFill>
      </x:fill>
    </x:dxf>
    <x:dxf>
      <x:font>
        <x:color rgb="FFA04B0B"/>
      </x:font>
      <x:fill>
        <x:patternFill>
          <x:bgColor rgb="FFFFF1CC"/>
        </x:patternFill>
      </x:fill>
    </x:dxf>
    <x:dxf>
      <x:font>
        <x:color rgb="FFB42318"/>
      </x:font>
      <x:fill>
        <x:patternFill>
          <x:bgColor rgb="FFFDE2E1"/>
        </x:patternFill>
      </x:fill>
    </x:dxf>
    <x:dxf>
      <x:font>
        <x:color rgb="FFB42318"/>
      </x:font>
      <x:fill>
        <x:patternFill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65f1bea3c4b54" /><Relationship Type="http://schemas.openxmlformats.org/officeDocument/2006/relationships/theme" Target="/xl/theme/theme1.xml" Id="Rea60cb32792e4b49" /><Relationship Type="http://schemas.openxmlformats.org/officeDocument/2006/relationships/sharedStrings" Target="/xl/sharedStrings.xml" Id="Rb3a712d1ee404b82" /><Relationship Type="http://schemas.openxmlformats.org/officeDocument/2006/relationships/worksheet" Target="/xl/worksheets/sheet1.xml" Id="R5567242a936f4862" /><Relationship Type="http://schemas.openxmlformats.org/officeDocument/2006/relationships/worksheet" Target="/xl/worksheets/sheet2.xml" Id="R15f954155adb4bff" /><Relationship Type="http://schemas.openxmlformats.org/officeDocument/2006/relationships/worksheet" Target="/xl/worksheets/sheet3.xml" Id="R2318cbb657624a9d" /><Relationship Type="http://schemas.openxmlformats.org/officeDocument/2006/relationships/worksheet" Target="/xl/worksheets/sheet4.xml" Id="R7c65e7434cc24b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7582d1831c48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Completed vs Not Completed by Team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Completed</c:v>
          </c:tx>
          <c:cat>
            <c:strRef>
              <c:f>'Summary'!$K$29:$K$39</c:f>
              <c:strCache>
                <c:ptCount val="0"/>
              </c:strCache>
            </c:strRef>
          </c:cat>
          <c:val>
            <c:numRef>
              <c:f>'Summary'!$L$29:$L$39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Not Completed</c:v>
          </c:tx>
          <c:cat>
            <c:strRef>
              <c:f>'Summary'!$K$29:$K$39</c:f>
              <c:strCache>
                <c:ptCount val="0"/>
              </c:strCache>
            </c:strRef>
          </c:cat>
          <c:val>
            <c:numRef>
              <c:f>'Summary'!$M$29:$M$39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7582d1831c48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StatusTable" displayName="StudentStatusTable" ref="A3:I110" headerRowCount="1" totalsRowCount="0" totalsRowShown="0">
  <x:tableColumns count="9">
    <x:tableColumn id="1" name="Team No."/>
    <x:tableColumn id="2" name="Team Leader"/>
    <x:tableColumn id="3" name="Role"/>
    <x:tableColumn id="4" name="Team Member"/>
    <x:tableColumn id="5" name="Email"/>
    <x:tableColumn id="6" name="Status"/>
    <x:tableColumn id="7" name="Raw Status"/>
    <x:tableColumn id="8" name="Source URL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28f56c7e804e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43c24420ea44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42" hidden="0" customWidth="1"/>
  </x:cols>
  <x:sheetData>
    <x:row r="1" ht="34" customHeight="1">
      <x:c r="A1" s="103" t="str">
        <x:v>Day 2 – Team Task Completion Audit</x:v>
      </x:c>
      <x:c r="B1" s="103"/>
      <x:c r="C1" s="103"/>
      <x:c r="D1" s="103"/>
      <x:c r="E1" s="103"/>
      <x:c r="F1" s="103"/>
      <x:c r="G1" s="103"/>
      <x:c r="H1" s="103"/>
      <x:c r="I1" s="103"/>
    </x:row>
    <x:row r="3">
      <x:c r="A3" s="11" t="str">
        <x:v>Reported Students</x:v>
      </x:c>
      <x:c r="B3" s="12"/>
      <x:c r="C3" s="32" t="str">
        <x:v>Completed</x:v>
      </x:c>
      <x:c r="D3" s="33"/>
      <x:c r="E3" s="53" t="str">
        <x:v>Not Completed</x:v>
      </x:c>
      <x:c r="F3" s="54"/>
      <x:c r="G3" s="74" t="str">
        <x:v>Teams With Data</x:v>
      </x:c>
      <x:c r="H3" s="75"/>
    </x:row>
    <x:row r="4">
      <x:c r="A4" s="22" t="n">
        <x:f>SUM(E9:E19)</x:f>
        <x:v>107</x:v>
      </x:c>
      <x:c r="B4" s="23"/>
      <x:c r="C4" s="43" t="n">
        <x:f>SUM(F9:F19)</x:f>
        <x:v>95</x:v>
      </x:c>
      <x:c r="D4" s="44"/>
      <x:c r="E4" s="64" t="n">
        <x:f>SUM(G9:G19)</x:f>
        <x:v>12</x:v>
      </x:c>
      <x:c r="F4" s="65"/>
      <x:c r="G4" s="85" t="n">
        <x:f>COUNTIF(D9:D19,"Available")</x:f>
        <x:v>9</x:v>
      </x:c>
      <x:c r="H4" s="86"/>
    </x:row>
    <x:row r="5">
      <x:c r="A5" s="24"/>
      <x:c r="B5" s="25"/>
      <x:c r="C5" s="45"/>
      <x:c r="D5" s="46"/>
      <x:c r="E5" s="66"/>
      <x:c r="F5" s="67"/>
      <x:c r="G5" s="87"/>
      <x:c r="H5" s="88"/>
    </x:row>
    <x:row r="6">
      <x:c r="A6" s="90" t="str">
        <x:f>"Completion rate among reported students: "&amp;TEXT(C4/A4,"0.0%")</x:f>
        <x:v>Completion rate among reported students: 88.8%</x:v>
      </x:c>
      <x:c r="B6" s="90"/>
      <x:c r="C6" s="90"/>
      <x:c r="D6" s="90"/>
      <x:c r="E6" s="90"/>
      <x:c r="F6" s="90"/>
      <x:c r="G6" s="90"/>
      <x:c r="H6" s="90"/>
    </x:row>
    <x:row r="8" ht="15" hidden="0" customHeight="1">
      <x:c r="A8" s="97" t="str">
        <x:v>Team No.</x:v>
      </x:c>
      <x:c r="B8" s="97" t="str">
        <x:v>Team Leader</x:v>
      </x:c>
      <x:c r="C8" s="97" t="str">
        <x:v>Repository URL</x:v>
      </x:c>
      <x:c r="D8" s="97" t="str">
        <x:v>Report Status</x:v>
      </x:c>
      <x:c r="E8" s="97" t="str">
        <x:v>Reported</x:v>
      </x:c>
      <x:c r="F8" s="97" t="str">
        <x:v>Completed</x:v>
      </x:c>
      <x:c r="G8" s="97" t="str">
        <x:v>Not Completed</x:v>
      </x:c>
      <x:c r="H8" s="97" t="str">
        <x:v>Completion Rate</x:v>
      </x:c>
      <x:c r="I8" s="97" t="str">
        <x:v>Notes</x:v>
      </x:c>
    </x:row>
    <x:row r="9" ht="15" hidden="0" customHeight="1">
      <x:c r="A9" s="100" t="n">
        <x:v>1</x:v>
      </x:c>
      <x:c r="B9" s="98" t="str">
        <x:v>Shivam Mishra</x:v>
      </x:c>
      <x:c r="C9" s="98" t="str">
        <x:v>https://github.com/Shivam10m/First-PRD</x:v>
      </x:c>
      <x:c r="D9" s="98" t="str">
        <x:v>Available</x:v>
      </x:c>
      <x:c r="E9" s="98" t="n">
        <x:f>COUNTIF('Student Status'!$A$4:$A$110,A9)</x:f>
        <x:v>11</x:v>
      </x:c>
      <x:c r="F9" s="98" t="n">
        <x:f>COUNTIFS('Student Status'!$A$4:$A$110,A9,'Student Status'!$F$4:$F$110,"Completed")</x:f>
        <x:v>11</x:v>
      </x:c>
      <x:c r="G9" s="98" t="n">
        <x:f>COUNTIFS('Student Status'!$A$4:$A$110,A9,'Student Status'!$F$4:$F$110,"Not Completed")</x:f>
        <x:v>0</x:v>
      </x:c>
      <x:c r="H9" s="99" t="n">
        <x:f>IF(E9=0,"",F9/E9)</x:f>
        <x:v>1</x:v>
      </x:c>
      <x:c r="I9" s="98" t="str">
        <x:v>Report available</x:v>
      </x:c>
    </x:row>
    <x:row r="10" ht="15" hidden="0" customHeight="1">
      <x:c r="A10" s="100" t="n">
        <x:v>2</x:v>
      </x:c>
      <x:c r="B10" s="98" t="str">
        <x:v>N Harshavardhan Reddy</x:v>
      </x:c>
      <x:c r="C10" s="98" t="str">
        <x:v>https://github.com/HarshavardhanReddy-Nusum/First-PRD</x:v>
      </x:c>
      <x:c r="D10" s="98" t="str">
        <x:v>Available</x:v>
      </x:c>
      <x:c r="E10" s="98" t="n">
        <x:f>COUNTIF('Student Status'!$A$4:$A$110,A10)</x:f>
        <x:v>12</x:v>
      </x:c>
      <x:c r="F10" s="98" t="n">
        <x:f>COUNTIFS('Student Status'!$A$4:$A$110,A10,'Student Status'!$F$4:$F$110,"Completed")</x:f>
        <x:v>9</x:v>
      </x:c>
      <x:c r="G10" s="98" t="n">
        <x:f>COUNTIFS('Student Status'!$A$4:$A$110,A10,'Student Status'!$F$4:$F$110,"Not Completed")</x:f>
        <x:v>3</x:v>
      </x:c>
      <x:c r="H10" s="99" t="n">
        <x:f>IF(E10=0,"",F10/E10)</x:f>
        <x:v>0.75</x:v>
      </x:c>
      <x:c r="I10" s="98" t="str">
        <x:v>Report available; TL name appears as Harsha in report</x:v>
      </x:c>
    </x:row>
    <x:row r="11" ht="15" hidden="0" customHeight="1">
      <x:c r="A11" s="100" t="n">
        <x:v>3</x:v>
      </x:c>
      <x:c r="B11" s="98" t="str">
        <x:v>SK Ahamad Alisha</x:v>
      </x:c>
      <x:c r="C11" s="98" t="str">
        <x:v>https://github.com/ahamad-dev/First-PRD</x:v>
      </x:c>
      <x:c r="D11" s="98" t="str">
        <x:v>Available</x:v>
      </x:c>
      <x:c r="E11" s="98" t="n">
        <x:f>COUNTIF('Student Status'!$A$4:$A$110,A11)</x:f>
        <x:v>12</x:v>
      </x:c>
      <x:c r="F11" s="98" t="n">
        <x:f>COUNTIFS('Student Status'!$A$4:$A$110,A11,'Student Status'!$F$4:$F$110,"Completed")</x:f>
        <x:v>12</x:v>
      </x:c>
      <x:c r="G11" s="98" t="n">
        <x:f>COUNTIFS('Student Status'!$A$4:$A$110,A11,'Student Status'!$F$4:$F$110,"Not Completed")</x:f>
        <x:v>0</x:v>
      </x:c>
      <x:c r="H11" s="99" t="n">
        <x:f>IF(E11=0,"",F11/E11)</x:f>
        <x:v>1</x:v>
      </x:c>
      <x:c r="I11" s="98" t="str">
        <x:v>Report available</x:v>
      </x:c>
    </x:row>
    <x:row r="12" ht="32" hidden="0" customHeight="1">
      <x:c r="A12" s="100" t="n">
        <x:v>4</x:v>
      </x:c>
      <x:c r="B12" s="98" t="str">
        <x:v>D. Pavan Kalyan</x:v>
      </x:c>
      <x:c r="C12" s="98" t="str">
        <x:v>https://github.com/Pavankalyan7898/First-PRD</x:v>
      </x:c>
      <x:c r="D12" s="98" t="str">
        <x:v>Missing</x:v>
      </x:c>
      <x:c r="E12" s="98" t="n">
        <x:f>COUNTIF('Student Status'!$A$4:$A$110,A12)</x:f>
        <x:v>0</x:v>
      </x:c>
      <x:c r="F12" s="98" t="n">
        <x:f>COUNTIFS('Student Status'!$A$4:$A$110,A12,'Student Status'!$F$4:$F$110,"Completed")</x:f>
        <x:v>0</x:v>
      </x:c>
      <x:c r="G12" s="98" t="n">
        <x:f>COUNTIFS('Student Status'!$A$4:$A$110,A12,'Student Status'!$F$4:$F$110,"Not Completed")</x:f>
        <x:v>0</x:v>
      </x:c>
      <x:c r="H12" s="99" t="str">
        <x:f>IF(E12=0,"",F12/E12)</x:f>
      </x:c>
      <x:c r="I12" s="98" t="str">
        <x:v>No member-status report found</x:v>
      </x:c>
    </x:row>
    <x:row r="13" ht="15" hidden="0" customHeight="1">
      <x:c r="A13" s="100" t="n">
        <x:v>5</x:v>
      </x:c>
      <x:c r="B13" s="98" t="str">
        <x:v>Parikshith D</x:v>
      </x:c>
      <x:c r="C13" s="98" t="str">
        <x:v>https://github.com/Parigowda007/First-PRD</x:v>
      </x:c>
      <x:c r="D13" s="98" t="str">
        <x:v>Available</x:v>
      </x:c>
      <x:c r="E13" s="98" t="n">
        <x:f>COUNTIF('Student Status'!$A$4:$A$110,A13)</x:f>
        <x:v>12</x:v>
      </x:c>
      <x:c r="F13" s="98" t="n">
        <x:f>COUNTIFS('Student Status'!$A$4:$A$110,A13,'Student Status'!$F$4:$F$110,"Completed")</x:f>
        <x:v>12</x:v>
      </x:c>
      <x:c r="G13" s="98" t="n">
        <x:f>COUNTIFS('Student Status'!$A$4:$A$110,A13,'Student Status'!$F$4:$F$110,"Not Completed")</x:f>
        <x:v>0</x:v>
      </x:c>
      <x:c r="H13" s="99" t="n">
        <x:f>IF(E13=0,"",F13/E13)</x:f>
        <x:v>1</x:v>
      </x:c>
      <x:c r="I13" s="98" t="str">
        <x:v>Status data found in team document</x:v>
      </x:c>
    </x:row>
    <x:row r="14" ht="15" hidden="0" customHeight="1">
      <x:c r="A14" s="100" t="n">
        <x:v>6</x:v>
      </x:c>
      <x:c r="B14" s="98" t="str">
        <x:v>Namdini</x:v>
      </x:c>
      <x:c r="C14" s="98" t="str">
        <x:v>https://github.com/l-nandini/First-PRD</x:v>
      </x:c>
      <x:c r="D14" s="98" t="str">
        <x:v>Unavailable</x:v>
      </x:c>
      <x:c r="E14" s="98" t="n">
        <x:f>COUNTIF('Student Status'!$A$4:$A$110,A14)</x:f>
        <x:v>0</x:v>
      </x:c>
      <x:c r="F14" s="98" t="n">
        <x:f>COUNTIFS('Student Status'!$A$4:$A$110,A14,'Student Status'!$F$4:$F$110,"Completed")</x:f>
        <x:v>0</x:v>
      </x:c>
      <x:c r="G14" s="98" t="n">
        <x:f>COUNTIFS('Student Status'!$A$4:$A$110,A14,'Student Status'!$F$4:$F$110,"Not Completed")</x:f>
        <x:v>0</x:v>
      </x:c>
      <x:c r="H14" s="99" t="str">
        <x:f>IF(E14=0,"",F14/E14)</x:f>
      </x:c>
      <x:c r="I14" s="98" t="str">
        <x:v>Repository URL returns Page not found</x:v>
      </x:c>
    </x:row>
    <x:row r="15" ht="32" hidden="0" customHeight="1">
      <x:c r="A15" s="100" t="n">
        <x:v>7</x:v>
      </x:c>
      <x:c r="B15" s="98" t="str">
        <x:v>Bikash Behera</x:v>
      </x:c>
      <x:c r="C15" s="98" t="str">
        <x:v>https://github.com/Biku2004/First-PRD</x:v>
      </x:c>
      <x:c r="D15" s="98" t="str">
        <x:v>Available</x:v>
      </x:c>
      <x:c r="E15" s="98" t="n">
        <x:f>COUNTIF('Student Status'!$A$4:$A$110,A15)</x:f>
        <x:v>12</x:v>
      </x:c>
      <x:c r="F15" s="98" t="n">
        <x:f>COUNTIFS('Student Status'!$A$4:$A$110,A15,'Student Status'!$F$4:$F$110,"Completed")</x:f>
        <x:v>11</x:v>
      </x:c>
      <x:c r="G15" s="98" t="n">
        <x:f>COUNTIFS('Student Status'!$A$4:$A$110,A15,'Student Status'!$F$4:$F$110,"Not Completed")</x:f>
        <x:v>1</x:v>
      </x:c>
      <x:c r="H15" s="99" t="n">
        <x:f>IF(E15=0,"",F15/E15)</x:f>
        <x:v>0.9166666666666666</x:v>
      </x:c>
      <x:c r="I15" s="98" t="str">
        <x:v>TL mismatch: Day 2 says Bikash; report says Mohammed</x:v>
      </x:c>
    </x:row>
    <x:row r="16" ht="15" hidden="0" customHeight="1">
      <x:c r="A16" s="100" t="n">
        <x:v>8</x:v>
      </x:c>
      <x:c r="B16" s="98" t="str">
        <x:v>Manish Soni</x:v>
      </x:c>
      <x:c r="C16" s="98" t="str">
        <x:v>https://github.com/manish23092003/First-PRD</x:v>
      </x:c>
      <x:c r="D16" s="98" t="str">
        <x:v>Available</x:v>
      </x:c>
      <x:c r="E16" s="98" t="n">
        <x:f>COUNTIF('Student Status'!$A$4:$A$110,A16)</x:f>
        <x:v>12</x:v>
      </x:c>
      <x:c r="F16" s="98" t="n">
        <x:f>COUNTIFS('Student Status'!$A$4:$A$110,A16,'Student Status'!$F$4:$F$110,"Completed")</x:f>
        <x:v>11</x:v>
      </x:c>
      <x:c r="G16" s="98" t="n">
        <x:f>COUNTIFS('Student Status'!$A$4:$A$110,A16,'Student Status'!$F$4:$F$110,"Not Completed")</x:f>
        <x:v>1</x:v>
      </x:c>
      <x:c r="H16" s="99" t="n">
        <x:f>IF(E16=0,"",F16/E16)</x:f>
        <x:v>0.9166666666666666</x:v>
      </x:c>
      <x:c r="I16" s="98" t="str">
        <x:v>Report available</x:v>
      </x:c>
    </x:row>
    <x:row r="17" ht="15" hidden="0" customHeight="1">
      <x:c r="A17" s="100" t="n">
        <x:v>9</x:v>
      </x:c>
      <x:c r="B17" s="98" t="str">
        <x:v>Pavithra Sharma</x:v>
      </x:c>
      <x:c r="C17" s="98" t="str">
        <x:v>https://github.com/PavithraSharma14/First-PRD</x:v>
      </x:c>
      <x:c r="D17" s="98" t="str">
        <x:v>Available</x:v>
      </x:c>
      <x:c r="E17" s="98" t="n">
        <x:f>COUNTIF('Student Status'!$A$4:$A$110,A17)</x:f>
        <x:v>12</x:v>
      </x:c>
      <x:c r="F17" s="98" t="n">
        <x:f>COUNTIFS('Student Status'!$A$4:$A$110,A17,'Student Status'!$F$4:$F$110,"Completed")</x:f>
        <x:v>12</x:v>
      </x:c>
      <x:c r="G17" s="98" t="n">
        <x:f>COUNTIFS('Student Status'!$A$4:$A$110,A17,'Student Status'!$F$4:$F$110,"Not Completed")</x:f>
        <x:v>0</x:v>
      </x:c>
      <x:c r="H17" s="99" t="n">
        <x:f>IF(E17=0,"",F17/E17)</x:f>
        <x:v>1</x:v>
      </x:c>
      <x:c r="I17" s="98" t="str">
        <x:v>Report available</x:v>
      </x:c>
    </x:row>
    <x:row r="18" ht="32" hidden="0" customHeight="1">
      <x:c r="A18" s="100" t="n">
        <x:v>10</x:v>
      </x:c>
      <x:c r="B18" s="98" t="str">
        <x:v>Mani Geethika</x:v>
      </x:c>
      <x:c r="C18" s="98" t="str">
        <x:v>https://github.com/MGR368/First-PRD</x:v>
      </x:c>
      <x:c r="D18" s="98" t="str">
        <x:v>Available</x:v>
      </x:c>
      <x:c r="E18" s="98" t="n">
        <x:f>COUNTIF('Student Status'!$A$4:$A$110,A18)</x:f>
        <x:v>13</x:v>
      </x:c>
      <x:c r="F18" s="98" t="n">
        <x:f>COUNTIFS('Student Status'!$A$4:$A$110,A18,'Student Status'!$F$4:$F$110,"Completed")</x:f>
        <x:v>6</x:v>
      </x:c>
      <x:c r="G18" s="98" t="n">
        <x:f>COUNTIFS('Student Status'!$A$4:$A$110,A18,'Student Status'!$F$4:$F$110,"Not Completed")</x:f>
        <x:v>7</x:v>
      </x:c>
      <x:c r="H18" s="99" t="n">
        <x:f>IF(E18=0,"",F18/E18)</x:f>
        <x:v>0.46153846153846156</x:v>
      </x:c>
      <x:c r="I18" s="98" t="str">
        <x:v>6 completed; 7 partially completed (counted as Not Completed)</x:v>
      </x:c>
    </x:row>
    <x:row r="19" ht="15" hidden="0" customHeight="1">
      <x:c r="A19" s="100" t="n">
        <x:v>11</x:v>
      </x:c>
      <x:c r="B19" s="98" t="str">
        <x:v>Monisha</x:v>
      </x:c>
      <x:c r="C19" s="98" t="str">
        <x:v>https://github.com/MonishaKandari/First-PRD</x:v>
      </x:c>
      <x:c r="D19" s="98" t="str">
        <x:v>Available</x:v>
      </x:c>
      <x:c r="E19" s="98" t="n">
        <x:f>COUNTIF('Student Status'!$A$4:$A$110,A19)</x:f>
        <x:v>11</x:v>
      </x:c>
      <x:c r="F19" s="98" t="n">
        <x:f>COUNTIFS('Student Status'!$A$4:$A$110,A19,'Student Status'!$F$4:$F$110,"Completed")</x:f>
        <x:v>11</x:v>
      </x:c>
      <x:c r="G19" s="98" t="n">
        <x:f>COUNTIFS('Student Status'!$A$4:$A$110,A19,'Student Status'!$F$4:$F$110,"Not Completed")</x:f>
        <x:v>0</x:v>
      </x:c>
      <x:c r="H19" s="99" t="n">
        <x:f>IF(E19=0,"",F19/E19)</x:f>
        <x:v>1</x:v>
      </x:c>
      <x:c r="I19" s="98" t="str">
        <x:v>Report available</x:v>
      </x:c>
    </x:row>
    <x:row r="28">
      <x:c r="K28" t="str">
        <x:v>Team</x:v>
      </x:c>
      <x:c r="L28" t="str">
        <x:v>Completed</x:v>
      </x:c>
      <x:c r="M28" t="str">
        <x:v>Not Completed</x:v>
      </x:c>
    </x:row>
    <x:row r="29">
      <x:c r="K29" t="n">
        <x:f>A9</x:f>
        <x:v>1</x:v>
      </x:c>
      <x:c r="L29" t="n">
        <x:f>F9</x:f>
        <x:v>11</x:v>
      </x:c>
      <x:c r="M29" t="n">
        <x:f>G9</x:f>
        <x:v>0</x:v>
      </x:c>
    </x:row>
    <x:row r="30">
      <x:c r="K30" t="n">
        <x:f>A10</x:f>
        <x:v>2</x:v>
      </x:c>
      <x:c r="L30" t="n">
        <x:f>F10</x:f>
        <x:v>9</x:v>
      </x:c>
      <x:c r="M30" t="n">
        <x:f>G10</x:f>
        <x:v>3</x:v>
      </x:c>
    </x:row>
    <x:row r="31">
      <x:c r="K31" t="n">
        <x:f>A11</x:f>
        <x:v>3</x:v>
      </x:c>
      <x:c r="L31" t="n">
        <x:f>F11</x:f>
        <x:v>12</x:v>
      </x:c>
      <x:c r="M31" t="n">
        <x:f>G11</x:f>
        <x:v>0</x:v>
      </x:c>
    </x:row>
    <x:row r="32">
      <x:c r="K32" t="n">
        <x:f>A12</x:f>
        <x:v>4</x:v>
      </x:c>
      <x:c r="L32" t="n">
        <x:f>F12</x:f>
        <x:v>0</x:v>
      </x:c>
      <x:c r="M32" t="n">
        <x:f>G12</x:f>
        <x:v>0</x:v>
      </x:c>
    </x:row>
    <x:row r="33">
      <x:c r="K33" t="n">
        <x:f>A13</x:f>
        <x:v>5</x:v>
      </x:c>
      <x:c r="L33" t="n">
        <x:f>F13</x:f>
        <x:v>12</x:v>
      </x:c>
      <x:c r="M33" t="n">
        <x:f>G13</x:f>
        <x:v>0</x:v>
      </x:c>
    </x:row>
    <x:row r="34">
      <x:c r="K34" t="n">
        <x:f>A14</x:f>
        <x:v>6</x:v>
      </x:c>
      <x:c r="L34" t="n">
        <x:f>F14</x:f>
        <x:v>0</x:v>
      </x:c>
      <x:c r="M34" t="n">
        <x:f>G14</x:f>
        <x:v>0</x:v>
      </x:c>
    </x:row>
    <x:row r="35">
      <x:c r="K35" t="n">
        <x:f>A15</x:f>
        <x:v>7</x:v>
      </x:c>
      <x:c r="L35" t="n">
        <x:f>F15</x:f>
        <x:v>11</x:v>
      </x:c>
      <x:c r="M35" t="n">
        <x:f>G15</x:f>
        <x:v>1</x:v>
      </x:c>
    </x:row>
    <x:row r="36">
      <x:c r="K36" t="n">
        <x:f>A16</x:f>
        <x:v>8</x:v>
      </x:c>
      <x:c r="L36" t="n">
        <x:f>F16</x:f>
        <x:v>11</x:v>
      </x:c>
      <x:c r="M36" t="n">
        <x:f>G16</x:f>
        <x:v>1</x:v>
      </x:c>
    </x:row>
    <x:row r="37">
      <x:c r="K37" t="n">
        <x:f>A17</x:f>
        <x:v>9</x:v>
      </x:c>
      <x:c r="L37" t="n">
        <x:f>F17</x:f>
        <x:v>12</x:v>
      </x:c>
      <x:c r="M37" t="n">
        <x:f>G17</x:f>
        <x:v>0</x:v>
      </x:c>
    </x:row>
    <x:row r="38">
      <x:c r="K38" t="n">
        <x:f>A18</x:f>
        <x:v>10</x:v>
      </x:c>
      <x:c r="L38" t="n">
        <x:f>F18</x:f>
        <x:v>6</x:v>
      </x:c>
      <x:c r="M38" t="n">
        <x:f>G18</x:f>
        <x:v>7</x:v>
      </x:c>
    </x:row>
    <x:row r="39">
      <x:c r="K39" t="n">
        <x:f>A19</x:f>
        <x:v>11</x:v>
      </x:c>
      <x:c r="L39" t="n">
        <x:f>F19</x:f>
        <x:v>11</x:v>
      </x:c>
      <x:c r="M39" t="n">
        <x:f>G19</x:f>
        <x:v>0</x:v>
      </x:c>
    </x:row>
    <x:row r="42">
      <x:c r="A42" s="102" t="str">
        <x:v>Source page: https://kodnest.atlassian.net/wiki/spaces/~71202006fb55b795654a28aa641d77142b42cc/pages/1500676145/Day+2</x:v>
      </x:c>
      <x:c r="B42" s="102"/>
      <x:c r="C42" s="102"/>
      <x:c r="D42" s="102"/>
      <x:c r="E42" s="102"/>
      <x:c r="F42" s="102"/>
      <x:c r="G42" s="102"/>
      <x:c r="H42" s="102"/>
      <x:c r="I42" s="102"/>
    </x:row>
  </x:sheetData>
  <x:mergeCells>
    <x:mergeCell ref="A1:I1"/>
    <x:mergeCell ref="A3:B3"/>
    <x:mergeCell ref="A4:B5"/>
    <x:mergeCell ref="C3:D3"/>
    <x:mergeCell ref="C4:D5"/>
    <x:mergeCell ref="E3:F3"/>
    <x:mergeCell ref="E4:F5"/>
    <x:mergeCell ref="G3:H3"/>
    <x:mergeCell ref="G4:H5"/>
    <x:mergeCell ref="A6:H6"/>
    <x:mergeCell ref="A42:I42"/>
  </x:mergeCells>
  <x:conditionalFormatting sqref="D9:D19">
    <x:cfRule type="expression" dxfId="9" priority="5">
      <x:formula>$D9="Available"</x:formula>
    </x:cfRule>
    <x:cfRule type="expression" dxfId="10" priority="6">
      <x:formula>$D9="Missing"</x:formula>
    </x:cfRule>
    <x:cfRule type="expression" dxfId="11" priority="7">
      <x:formula>$D9="Unavailable"</x:formula>
    </x:cfRule>
  </x:conditionalFormatting>
  <x:conditionalFormatting sqref="G9:G19">
    <x:cfRule type="cellIs" dxfId="12" priority="8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ba28f56c7e804ee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7" hidden="0" customWidth="1"/>
    <x:col min="5" max="5" width="35" hidden="0" customWidth="1"/>
    <x:col min="6" max="6" width="16" hidden="0" customWidth="1"/>
    <x:col min="7" max="7" width="16" hidden="0" customWidth="1"/>
    <x:col min="8" max="8" width="58" hidden="0" customWidth="1"/>
    <x:col min="9" max="9" width="38" hidden="0" customWidth="1"/>
  </x:cols>
  <x:sheetData>
    <x:row r="1">
      <x:c r="A1" s="111" t="str">
        <x:v>Student-wise Completion Status</x:v>
      </x:c>
      <x:c r="B1" s="111"/>
      <x:c r="C1" s="111"/>
      <x:c r="D1" s="111"/>
      <x:c r="E1" s="111"/>
      <x:c r="F1" s="111"/>
      <x:c r="G1" s="111"/>
      <x:c r="H1" s="111"/>
      <x:c r="I1" s="111"/>
    </x:row>
    <x:row r="2">
      <x:c r="A2" s="108" t="str">
        <x:v>Statuses normalized: True / Yes / Completed → Completed; False / No / Partially Completed → Not Completed.</x:v>
      </x:c>
      <x:c r="B2" s="108"/>
      <x:c r="C2" s="108"/>
      <x:c r="D2" s="108"/>
      <x:c r="E2" s="108"/>
      <x:c r="F2" s="108"/>
      <x:c r="G2" s="108"/>
      <x:c r="H2" s="108"/>
      <x:c r="I2" s="108"/>
    </x:row>
    <x:row r="3">
      <x:c r="A3" s="109" t="str">
        <x:v>Team No.</x:v>
      </x:c>
      <x:c r="B3" s="109" t="str">
        <x:v>Team Leader</x:v>
      </x:c>
      <x:c r="C3" s="109" t="str">
        <x:v>Role</x:v>
      </x:c>
      <x:c r="D3" s="109" t="str">
        <x:v>Team Member</x:v>
      </x:c>
      <x:c r="E3" s="109" t="str">
        <x:v>Email</x:v>
      </x:c>
      <x:c r="F3" s="109" t="str">
        <x:v>Status</x:v>
      </x:c>
      <x:c r="G3" s="109" t="str">
        <x:v>Raw Status</x:v>
      </x:c>
      <x:c r="H3" s="109" t="str">
        <x:v>Source URL</x:v>
      </x:c>
      <x:c r="I3" s="109" t="str">
        <x:v>Notes</x:v>
      </x:c>
    </x:row>
    <x:row r="4">
      <x:c r="A4" s="112" t="n">
        <x:v>1</x:v>
      </x:c>
      <x:c r="B4" s="112" t="str">
        <x:v>Shivam Mishra</x:v>
      </x:c>
      <x:c r="C4" s="112" t="str">
        <x:v>Team Leader</x:v>
      </x:c>
      <x:c r="D4" s="112" t="str">
        <x:v>Shivam Mishra</x:v>
      </x:c>
      <x:c r="E4" s="112" t="str">
        <x:v>shivammishra10m@gmail.com</x:v>
      </x:c>
      <x:c r="F4" s="112" t="str">
        <x:v>Completed</x:v>
      </x:c>
      <x:c r="G4" s="112" t="str">
        <x:v>True</x:v>
      </x:c>
      <x:c r="H4" s="112" t="str">
        <x:v>https://github.com/Shivam10m/First-PRD/blob/main/Report/Report.txt</x:v>
      </x:c>
      <x:c r="I4" s="112"/>
    </x:row>
    <x:row r="5">
      <x:c r="A5" s="112" t="n">
        <x:v>1</x:v>
      </x:c>
      <x:c r="B5" s="112" t="str">
        <x:v>Shivam Mishra</x:v>
      </x:c>
      <x:c r="C5" s="112" t="str">
        <x:v>Member</x:v>
      </x:c>
      <x:c r="D5" s="112" t="str">
        <x:v>Adarsh Anand</x:v>
      </x:c>
      <x:c r="E5" s="112" t="str">
        <x:v>adarsh.ad91622@gmail.com</x:v>
      </x:c>
      <x:c r="F5" s="112" t="str">
        <x:v>Completed</x:v>
      </x:c>
      <x:c r="G5" s="112" t="str">
        <x:v>True</x:v>
      </x:c>
      <x:c r="H5" s="112" t="str">
        <x:v>https://github.com/Shivam10m/First-PRD/blob/main/Report/Report.txt</x:v>
      </x:c>
      <x:c r="I5" s="112"/>
    </x:row>
    <x:row r="6">
      <x:c r="A6" s="112" t="n">
        <x:v>1</x:v>
      </x:c>
      <x:c r="B6" s="112" t="str">
        <x:v>Shivam Mishra</x:v>
      </x:c>
      <x:c r="C6" s="112" t="str">
        <x:v>Member</x:v>
      </x:c>
      <x:c r="D6" s="112" t="str">
        <x:v>Partho Gorain</x:v>
      </x:c>
      <x:c r="E6" s="112" t="str">
        <x:v>parthogorain22617@gmail.com</x:v>
      </x:c>
      <x:c r="F6" s="112" t="str">
        <x:v>Completed</x:v>
      </x:c>
      <x:c r="G6" s="112" t="str">
        <x:v>True</x:v>
      </x:c>
      <x:c r="H6" s="112" t="str">
        <x:v>https://github.com/Shivam10m/First-PRD/blob/main/Report/Report.txt</x:v>
      </x:c>
      <x:c r="I6" s="112"/>
    </x:row>
    <x:row r="7">
      <x:c r="A7" s="112" t="n">
        <x:v>1</x:v>
      </x:c>
      <x:c r="B7" s="112" t="str">
        <x:v>Shivam Mishra</x:v>
      </x:c>
      <x:c r="C7" s="112" t="str">
        <x:v>Member</x:v>
      </x:c>
      <x:c r="D7" s="112" t="str">
        <x:v>Aman Kar</x:v>
      </x:c>
      <x:c r="E7" s="112" t="str">
        <x:v>23amankar@gmail.com</x:v>
      </x:c>
      <x:c r="F7" s="112" t="str">
        <x:v>Completed</x:v>
      </x:c>
      <x:c r="G7" s="112" t="str">
        <x:v>True</x:v>
      </x:c>
      <x:c r="H7" s="112" t="str">
        <x:v>https://github.com/Shivam10m/First-PRD/blob/main/Report/Report.txt</x:v>
      </x:c>
      <x:c r="I7" s="112" t="str">
        <x:v>Report numbering skips serial 04</x:v>
      </x:c>
    </x:row>
    <x:row r="8">
      <x:c r="A8" s="112" t="n">
        <x:v>1</x:v>
      </x:c>
      <x:c r="B8" s="112" t="str">
        <x:v>Shivam Mishra</x:v>
      </x:c>
      <x:c r="C8" s="112" t="str">
        <x:v>Member</x:v>
      </x:c>
      <x:c r="D8" s="112" t="str">
        <x:v>Tulasi</x:v>
      </x:c>
      <x:c r="E8" s="112" t="str">
        <x:v>dustakartulasi2004@gmail.com</x:v>
      </x:c>
      <x:c r="F8" s="112" t="str">
        <x:v>Completed</x:v>
      </x:c>
      <x:c r="G8" s="112" t="str">
        <x:v>True</x:v>
      </x:c>
      <x:c r="H8" s="112" t="str">
        <x:v>https://github.com/Shivam10m/First-PRD/blob/main/Report/Report.txt</x:v>
      </x:c>
      <x:c r="I8" s="112"/>
    </x:row>
    <x:row r="9">
      <x:c r="A9" s="112" t="n">
        <x:v>1</x:v>
      </x:c>
      <x:c r="B9" s="112" t="str">
        <x:v>Shivam Mishra</x:v>
      </x:c>
      <x:c r="C9" s="112" t="str">
        <x:v>Member</x:v>
      </x:c>
      <x:c r="D9" s="112" t="str">
        <x:v>Sk. Mahasin Humaira</x:v>
      </x:c>
      <x:c r="E9" s="112" t="str">
        <x:v>mahasinshaik2005@gmail.com</x:v>
      </x:c>
      <x:c r="F9" s="112" t="str">
        <x:v>Completed</x:v>
      </x:c>
      <x:c r="G9" s="112" t="str">
        <x:v>True</x:v>
      </x:c>
      <x:c r="H9" s="112" t="str">
        <x:v>https://github.com/Shivam10m/First-PRD/blob/main/Report/Report.txt</x:v>
      </x:c>
      <x:c r="I9" s="112"/>
    </x:row>
    <x:row r="10">
      <x:c r="A10" s="112" t="n">
        <x:v>1</x:v>
      </x:c>
      <x:c r="B10" s="112" t="str">
        <x:v>Shivam Mishra</x:v>
      </x:c>
      <x:c r="C10" s="112" t="str">
        <x:v>Member</x:v>
      </x:c>
      <x:c r="D10" s="112" t="str">
        <x:v>Kavya G.P</x:v>
      </x:c>
      <x:c r="E10" s="112" t="str">
        <x:v>kavyagp2108@gmail.com</x:v>
      </x:c>
      <x:c r="F10" s="112" t="str">
        <x:v>Completed</x:v>
      </x:c>
      <x:c r="G10" s="112" t="str">
        <x:v>True</x:v>
      </x:c>
      <x:c r="H10" s="112" t="str">
        <x:v>https://github.com/Shivam10m/First-PRD/blob/main/Report/Report.txt</x:v>
      </x:c>
      <x:c r="I10" s="112"/>
    </x:row>
    <x:row r="11">
      <x:c r="A11" s="112" t="n">
        <x:v>1</x:v>
      </x:c>
      <x:c r="B11" s="112" t="str">
        <x:v>Shivam Mishra</x:v>
      </x:c>
      <x:c r="C11" s="112" t="str">
        <x:v>Member</x:v>
      </x:c>
      <x:c r="D11" s="112" t="str">
        <x:v>Shravana Shinagari</x:v>
      </x:c>
      <x:c r="E11" s="112" t="str">
        <x:v>shravanashinagari10@gmail.com</x:v>
      </x:c>
      <x:c r="F11" s="112" t="str">
        <x:v>Completed</x:v>
      </x:c>
      <x:c r="G11" s="112" t="str">
        <x:v>True</x:v>
      </x:c>
      <x:c r="H11" s="112" t="str">
        <x:v>https://github.com/Shivam10m/First-PRD/blob/main/Report/Report.txt</x:v>
      </x:c>
      <x:c r="I11" s="112"/>
    </x:row>
    <x:row r="12">
      <x:c r="A12" s="112" t="n">
        <x:v>1</x:v>
      </x:c>
      <x:c r="B12" s="112" t="str">
        <x:v>Shivam Mishra</x:v>
      </x:c>
      <x:c r="C12" s="112" t="str">
        <x:v>Member</x:v>
      </x:c>
      <x:c r="D12" s="112" t="str">
        <x:v>Shreshta</x:v>
      </x:c>
      <x:c r="E12" s="112" t="str">
        <x:v>shreshtapoorthi@gmail.com</x:v>
      </x:c>
      <x:c r="F12" s="112" t="str">
        <x:v>Completed</x:v>
      </x:c>
      <x:c r="G12" s="112" t="str">
        <x:v>True</x:v>
      </x:c>
      <x:c r="H12" s="112" t="str">
        <x:v>https://github.com/Shivam10m/First-PRD/blob/main/Report/Report.txt</x:v>
      </x:c>
      <x:c r="I12" s="112"/>
    </x:row>
    <x:row r="13">
      <x:c r="A13" s="112" t="n">
        <x:v>1</x:v>
      </x:c>
      <x:c r="B13" s="112" t="str">
        <x:v>Shivam Mishra</x:v>
      </x:c>
      <x:c r="C13" s="112" t="str">
        <x:v>Member</x:v>
      </x:c>
      <x:c r="D13" s="112" t="str">
        <x:v>Sneha Revanna</x:v>
      </x:c>
      <x:c r="E13" s="112" t="str">
        <x:v>sneharevanna2004@gmail.com</x:v>
      </x:c>
      <x:c r="F13" s="112" t="str">
        <x:v>Completed</x:v>
      </x:c>
      <x:c r="G13" s="112" t="str">
        <x:v>True</x:v>
      </x:c>
      <x:c r="H13" s="112" t="str">
        <x:v>https://github.com/Shivam10m/First-PRD/blob/main/Report/Report.txt</x:v>
      </x:c>
      <x:c r="I13" s="112"/>
    </x:row>
    <x:row r="14">
      <x:c r="A14" s="112" t="n">
        <x:v>1</x:v>
      </x:c>
      <x:c r="B14" s="112" t="str">
        <x:v>Shivam Mishra</x:v>
      </x:c>
      <x:c r="C14" s="112" t="str">
        <x:v>Member</x:v>
      </x:c>
      <x:c r="D14" s="112" t="str">
        <x:v>Gagana V</x:v>
      </x:c>
      <x:c r="E14" s="112" t="str">
        <x:v>gaganav419@gmail.com</x:v>
      </x:c>
      <x:c r="F14" s="112" t="str">
        <x:v>Completed</x:v>
      </x:c>
      <x:c r="G14" s="112" t="str">
        <x:v>True</x:v>
      </x:c>
      <x:c r="H14" s="112" t="str">
        <x:v>https://github.com/Shivam10m/First-PRD/blob/main/Report/Report.txt</x:v>
      </x:c>
      <x:c r="I14" s="112"/>
    </x:row>
    <x:row r="15">
      <x:c r="A15" s="112" t="n">
        <x:v>2</x:v>
      </x:c>
      <x:c r="B15" s="112" t="str">
        <x:v>N Harshavardhan Reddy</x:v>
      </x:c>
      <x:c r="C15" s="112" t="str">
        <x:v>Team Leader (likely)</x:v>
      </x:c>
      <x:c r="D15" s="112" t="str">
        <x:v>Harsha</x:v>
      </x:c>
      <x:c r="E15" s="112" t="str">
        <x:v>harshavardhanreddynusum@gmail.com</x:v>
      </x:c>
      <x:c r="F15" s="112" t="str">
        <x:v>Completed</x:v>
      </x:c>
      <x:c r="G15" s="112" t="str">
        <x:v>true</x:v>
      </x:c>
      <x:c r="H15" s="112" t="str">
        <x:v>https://github.com/HarshavardhanReddy-Nusum/First-PRD/blob/main/report.txt</x:v>
      </x:c>
      <x:c r="I15" s="112" t="str">
        <x:v>Name abbreviated in report</x:v>
      </x:c>
    </x:row>
    <x:row r="16">
      <x:c r="A16" s="112" t="n">
        <x:v>2</x:v>
      </x:c>
      <x:c r="B16" s="112" t="str">
        <x:v>N Harshavardhan Reddy</x:v>
      </x:c>
      <x:c r="C16" s="112" t="str">
        <x:v>Member</x:v>
      </x:c>
      <x:c r="D16" s="112" t="str">
        <x:v>Praveen</x:v>
      </x:c>
      <x:c r="E16" s="112" t="str">
        <x:v>praveenpraveensimhadri@gmail.com</x:v>
      </x:c>
      <x:c r="F16" s="112" t="str">
        <x:v>Completed</x:v>
      </x:c>
      <x:c r="G16" s="112" t="str">
        <x:v>true</x:v>
      </x:c>
      <x:c r="H16" s="112" t="str">
        <x:v>https://github.com/HarshavardhanReddy-Nusum/First-PRD/blob/main/report.txt</x:v>
      </x:c>
      <x:c r="I16" s="112"/>
    </x:row>
    <x:row r="17">
      <x:c r="A17" s="112" t="n">
        <x:v>2</x:v>
      </x:c>
      <x:c r="B17" s="112" t="str">
        <x:v>N Harshavardhan Reddy</x:v>
      </x:c>
      <x:c r="C17" s="112" t="str">
        <x:v>Member</x:v>
      </x:c>
      <x:c r="D17" s="112" t="str">
        <x:v>yallanajaneyulu</x:v>
      </x:c>
      <x:c r="E17" s="112" t="str">
        <x:v>yallanajaneyulugumma@gmail.com</x:v>
      </x:c>
      <x:c r="F17" s="112" t="str">
        <x:v>Not Completed</x:v>
      </x:c>
      <x:c r="G17" s="112" t="str">
        <x:v>false</x:v>
      </x:c>
      <x:c r="H17" s="112" t="str">
        <x:v>https://github.com/HarshavardhanReddy-Nusum/First-PRD/blob/main/report.txt</x:v>
      </x:c>
      <x:c r="I17" s="112"/>
    </x:row>
    <x:row r="18">
      <x:c r="A18" s="112" t="n">
        <x:v>2</x:v>
      </x:c>
      <x:c r="B18" s="112" t="str">
        <x:v>N Harshavardhan Reddy</x:v>
      </x:c>
      <x:c r="C18" s="112" t="str">
        <x:v>Member</x:v>
      </x:c>
      <x:c r="D18" s="112" t="str">
        <x:v>Deepa</x:v>
      </x:c>
      <x:c r="E18" s="112" t="str">
        <x:v>gownideepa.career@gmail.com</x:v>
      </x:c>
      <x:c r="F18" s="112" t="str">
        <x:v>Completed</x:v>
      </x:c>
      <x:c r="G18" s="112" t="str">
        <x:v>true</x:v>
      </x:c>
      <x:c r="H18" s="112" t="str">
        <x:v>https://github.com/HarshavardhanReddy-Nusum/First-PRD/blob/main/report.txt</x:v>
      </x:c>
      <x:c r="I18" s="112"/>
    </x:row>
    <x:row r="19">
      <x:c r="A19" s="112" t="n">
        <x:v>2</x:v>
      </x:c>
      <x:c r="B19" s="112" t="str">
        <x:v>N Harshavardhan Reddy</x:v>
      </x:c>
      <x:c r="C19" s="112" t="str">
        <x:v>Member</x:v>
      </x:c>
      <x:c r="D19" s="112" t="str">
        <x:v>Ruchita Jadhav</x:v>
      </x:c>
      <x:c r="E19" s="112" t="str">
        <x:v>ruchitajadhav112004@gmail.com</x:v>
      </x:c>
      <x:c r="F19" s="112" t="str">
        <x:v>Completed</x:v>
      </x:c>
      <x:c r="G19" s="112" t="str">
        <x:v>true</x:v>
      </x:c>
      <x:c r="H19" s="112" t="str">
        <x:v>https://github.com/HarshavardhanReddy-Nusum/First-PRD/blob/main/report.txt</x:v>
      </x:c>
      <x:c r="I19" s="112"/>
    </x:row>
    <x:row r="20">
      <x:c r="A20" s="112" t="n">
        <x:v>2</x:v>
      </x:c>
      <x:c r="B20" s="112" t="str">
        <x:v>N Harshavardhan Reddy</x:v>
      </x:c>
      <x:c r="C20" s="112" t="str">
        <x:v>Member</x:v>
      </x:c>
      <x:c r="D20" s="112" t="str">
        <x:v>Pallavi</x:v>
      </x:c>
      <x:c r="E20" s="112" t="str">
        <x:v>arunasriram395@gmail.com</x:v>
      </x:c>
      <x:c r="F20" s="112" t="str">
        <x:v>Completed</x:v>
      </x:c>
      <x:c r="G20" s="112" t="str">
        <x:v>true</x:v>
      </x:c>
      <x:c r="H20" s="112" t="str">
        <x:v>https://github.com/HarshavardhanReddy-Nusum/First-PRD/blob/main/report.txt</x:v>
      </x:c>
      <x:c r="I20" s="112"/>
    </x:row>
    <x:row r="21">
      <x:c r="A21" s="112" t="n">
        <x:v>2</x:v>
      </x:c>
      <x:c r="B21" s="112" t="str">
        <x:v>N Harshavardhan Reddy</x:v>
      </x:c>
      <x:c r="C21" s="112" t="str">
        <x:v>Member</x:v>
      </x:c>
      <x:c r="D21" s="112" t="str">
        <x:v>Manoj</x:v>
      </x:c>
      <x:c r="E21" s="112" t="str">
        <x:v>sudhakarr20045@gmail.com</x:v>
      </x:c>
      <x:c r="F21" s="112" t="str">
        <x:v>Not Completed</x:v>
      </x:c>
      <x:c r="G21" s="112" t="str">
        <x:v>false</x:v>
      </x:c>
      <x:c r="H21" s="112" t="str">
        <x:v>https://github.com/HarshavardhanReddy-Nusum/First-PRD/blob/main/report.txt</x:v>
      </x:c>
      <x:c r="I21" s="112"/>
    </x:row>
    <x:row r="22">
      <x:c r="A22" s="112" t="n">
        <x:v>2</x:v>
      </x:c>
      <x:c r="B22" s="112" t="str">
        <x:v>N Harshavardhan Reddy</x:v>
      </x:c>
      <x:c r="C22" s="112" t="str">
        <x:v>Member</x:v>
      </x:c>
      <x:c r="D22" s="112" t="str">
        <x:v>Arjun</x:v>
      </x:c>
      <x:c r="E22" s="112" t="str">
        <x:v>arjunbalagopalan4510@gmail.com</x:v>
      </x:c>
      <x:c r="F22" s="112" t="str">
        <x:v>Not Completed</x:v>
      </x:c>
      <x:c r="G22" s="112" t="str">
        <x:v>false</x:v>
      </x:c>
      <x:c r="H22" s="112" t="str">
        <x:v>https://github.com/HarshavardhanReddy-Nusum/First-PRD/blob/main/report.txt</x:v>
      </x:c>
      <x:c r="I22" s="112"/>
    </x:row>
    <x:row r="23">
      <x:c r="A23" s="112" t="n">
        <x:v>2</x:v>
      </x:c>
      <x:c r="B23" s="112" t="str">
        <x:v>N Harshavardhan Reddy</x:v>
      </x:c>
      <x:c r="C23" s="112" t="str">
        <x:v>Member</x:v>
      </x:c>
      <x:c r="D23" s="112" t="str">
        <x:v>Reshma</x:v>
      </x:c>
      <x:c r="E23" s="112" t="str">
        <x:v>reshmamane505@gmail.com</x:v>
      </x:c>
      <x:c r="F23" s="112" t="str">
        <x:v>Completed</x:v>
      </x:c>
      <x:c r="G23" s="112" t="str">
        <x:v>true</x:v>
      </x:c>
      <x:c r="H23" s="112" t="str">
        <x:v>https://github.com/HarshavardhanReddy-Nusum/First-PRD/blob/main/report.txt</x:v>
      </x:c>
      <x:c r="I23" s="112"/>
    </x:row>
    <x:row r="24">
      <x:c r="A24" s="112" t="n">
        <x:v>2</x:v>
      </x:c>
      <x:c r="B24" s="112" t="str">
        <x:v>N Harshavardhan Reddy</x:v>
      </x:c>
      <x:c r="C24" s="112" t="str">
        <x:v>Member</x:v>
      </x:c>
      <x:c r="D24" s="112" t="str">
        <x:v>Keerti</x:v>
      </x:c>
      <x:c r="E24" s="112" t="str">
        <x:v>keertibillur5@gmail.com</x:v>
      </x:c>
      <x:c r="F24" s="112" t="str">
        <x:v>Completed</x:v>
      </x:c>
      <x:c r="G24" s="112" t="str">
        <x:v>true</x:v>
      </x:c>
      <x:c r="H24" s="112" t="str">
        <x:v>https://github.com/HarshavardhanReddy-Nusum/First-PRD/blob/main/report.txt</x:v>
      </x:c>
      <x:c r="I24" s="112"/>
    </x:row>
    <x:row r="25">
      <x:c r="A25" s="112" t="n">
        <x:v>2</x:v>
      </x:c>
      <x:c r="B25" s="112" t="str">
        <x:v>N Harshavardhan Reddy</x:v>
      </x:c>
      <x:c r="C25" s="112" t="str">
        <x:v>Member</x:v>
      </x:c>
      <x:c r="D25" s="112" t="str">
        <x:v>kavyashree GP</x:v>
      </x:c>
      <x:c r="E25" s="112" t="str">
        <x:v>kavyagp32@gmail.com</x:v>
      </x:c>
      <x:c r="F25" s="112" t="str">
        <x:v>Completed</x:v>
      </x:c>
      <x:c r="G25" s="112" t="str">
        <x:v>true</x:v>
      </x:c>
      <x:c r="H25" s="112" t="str">
        <x:v>https://github.com/HarshavardhanReddy-Nusum/First-PRD/blob/main/report.txt</x:v>
      </x:c>
      <x:c r="I25" s="112"/>
    </x:row>
    <x:row r="26">
      <x:c r="A26" s="112" t="n">
        <x:v>2</x:v>
      </x:c>
      <x:c r="B26" s="112" t="str">
        <x:v>N Harshavardhan Reddy</x:v>
      </x:c>
      <x:c r="C26" s="112" t="str">
        <x:v>Member</x:v>
      </x:c>
      <x:c r="D26" s="112" t="str">
        <x:v>Megha kammar</x:v>
      </x:c>
      <x:c r="E26" s="112" t="str">
        <x:v>megahkammar@gmail.com</x:v>
      </x:c>
      <x:c r="F26" s="112" t="str">
        <x:v>Completed</x:v>
      </x:c>
      <x:c r="G26" s="112" t="str">
        <x:v>true</x:v>
      </x:c>
      <x:c r="H26" s="112" t="str">
        <x:v>https://github.com/HarshavardhanReddy-Nusum/First-PRD/blob/main/report.txt</x:v>
      </x:c>
      <x:c r="I26" s="112"/>
    </x:row>
    <x:row r="27">
      <x:c r="A27" s="112" t="n">
        <x:v>3</x:v>
      </x:c>
      <x:c r="B27" s="112" t="str">
        <x:v>SK Ahamad Alisha</x:v>
      </x:c>
      <x:c r="C27" s="112" t="str">
        <x:v>Member</x:v>
      </x:c>
      <x:c r="D27" s="112" t="str">
        <x:v>Chandra Kant Pandey</x:v>
      </x:c>
      <x:c r="E27" s="112" t="str">
        <x:v>chandrakantpandey3547@gmail.com</x:v>
      </x:c>
      <x:c r="F27" s="112" t="str">
        <x:v>Completed</x:v>
      </x:c>
      <x:c r="G27" s="112" t="str">
        <x:v>true</x:v>
      </x:c>
      <x:c r="H27" s="112" t="str">
        <x:v>https://github.com/ahamad-dev/First-PRD/blob/main/report.text</x:v>
      </x:c>
      <x:c r="I27" s="112"/>
    </x:row>
    <x:row r="28">
      <x:c r="A28" s="112" t="n">
        <x:v>3</x:v>
      </x:c>
      <x:c r="B28" s="112" t="str">
        <x:v>SK Ahamad Alisha</x:v>
      </x:c>
      <x:c r="C28" s="112" t="str">
        <x:v>Member</x:v>
      </x:c>
      <x:c r="D28" s="112" t="str">
        <x:v>Sushma Hebbali</x:v>
      </x:c>
      <x:c r="E28" s="112" t="str">
        <x:v>sushmahebbale2@gmail.com</x:v>
      </x:c>
      <x:c r="F28" s="112" t="str">
        <x:v>Completed</x:v>
      </x:c>
      <x:c r="G28" s="112" t="str">
        <x:v>true</x:v>
      </x:c>
      <x:c r="H28" s="112" t="str">
        <x:v>https://github.com/ahamad-dev/First-PRD/blob/main/report.text</x:v>
      </x:c>
      <x:c r="I28" s="112"/>
    </x:row>
    <x:row r="29">
      <x:c r="A29" s="112" t="n">
        <x:v>3</x:v>
      </x:c>
      <x:c r="B29" s="112" t="str">
        <x:v>SK Ahamad Alisha</x:v>
      </x:c>
      <x:c r="C29" s="112" t="str">
        <x:v>Member</x:v>
      </x:c>
      <x:c r="D29" s="112" t="str">
        <x:v>Savita Vithal Kodag</x:v>
      </x:c>
      <x:c r="E29" s="112" t="str">
        <x:v>savitakodag9113@gmail.com</x:v>
      </x:c>
      <x:c r="F29" s="112" t="str">
        <x:v>Completed</x:v>
      </x:c>
      <x:c r="G29" s="112" t="str">
        <x:v>true</x:v>
      </x:c>
      <x:c r="H29" s="112" t="str">
        <x:v>https://github.com/ahamad-dev/First-PRD/blob/main/report.text</x:v>
      </x:c>
      <x:c r="I29" s="112"/>
    </x:row>
    <x:row r="30">
      <x:c r="A30" s="112" t="n">
        <x:v>3</x:v>
      </x:c>
      <x:c r="B30" s="112" t="str">
        <x:v>SK Ahamad Alisha</x:v>
      </x:c>
      <x:c r="C30" s="112" t="str">
        <x:v>Member</x:v>
      </x:c>
      <x:c r="D30" s="112" t="str">
        <x:v>Shweta Mudakude</x:v>
      </x:c>
      <x:c r="E30" s="112" t="str">
        <x:v>shwetamudakude5012002@gmail.com</x:v>
      </x:c>
      <x:c r="F30" s="112" t="str">
        <x:v>Completed</x:v>
      </x:c>
      <x:c r="G30" s="112" t="str">
        <x:v>true</x:v>
      </x:c>
      <x:c r="H30" s="112" t="str">
        <x:v>https://github.com/ahamad-dev/First-PRD/blob/main/report.text</x:v>
      </x:c>
      <x:c r="I30" s="112"/>
    </x:row>
    <x:row r="31">
      <x:c r="A31" s="112" t="n">
        <x:v>3</x:v>
      </x:c>
      <x:c r="B31" s="112" t="str">
        <x:v>SK Ahamad Alisha</x:v>
      </x:c>
      <x:c r="C31" s="112" t="str">
        <x:v>Member</x:v>
      </x:c>
      <x:c r="D31" s="112" t="str">
        <x:v>Harijayaraj</x:v>
      </x:c>
      <x:c r="E31" s="112" t="str">
        <x:v>harijayaraj27@gmail.com</x:v>
      </x:c>
      <x:c r="F31" s="112" t="str">
        <x:v>Completed</x:v>
      </x:c>
      <x:c r="G31" s="112" t="str">
        <x:v>true</x:v>
      </x:c>
      <x:c r="H31" s="112" t="str">
        <x:v>https://github.com/ahamad-dev/First-PRD/blob/main/report.text</x:v>
      </x:c>
      <x:c r="I31" s="112"/>
    </x:row>
    <x:row r="32">
      <x:c r="A32" s="112" t="n">
        <x:v>3</x:v>
      </x:c>
      <x:c r="B32" s="112" t="str">
        <x:v>SK Ahamad Alisha</x:v>
      </x:c>
      <x:c r="C32" s="112" t="str">
        <x:v>Member</x:v>
      </x:c>
      <x:c r="D32" s="112" t="str">
        <x:v>Aravindkumar</x:v>
      </x:c>
      <x:c r="E32" s="112" t="str">
        <x:v>aravindkumarcs216@gmail.com</x:v>
      </x:c>
      <x:c r="F32" s="112" t="str">
        <x:v>Completed</x:v>
      </x:c>
      <x:c r="G32" s="112" t="str">
        <x:v>true</x:v>
      </x:c>
      <x:c r="H32" s="112" t="str">
        <x:v>https://github.com/ahamad-dev/First-PRD/blob/main/report.text</x:v>
      </x:c>
      <x:c r="I32" s="112"/>
    </x:row>
    <x:row r="33">
      <x:c r="A33" s="112" t="n">
        <x:v>3</x:v>
      </x:c>
      <x:c r="B33" s="112" t="str">
        <x:v>SK Ahamad Alisha</x:v>
      </x:c>
      <x:c r="C33" s="112" t="str">
        <x:v>Member</x:v>
      </x:c>
      <x:c r="D33" s="112" t="str">
        <x:v>Dinesh</x:v>
      </x:c>
      <x:c r="E33" s="112" t="str">
        <x:v>dineshsaravanan315@gmail.com</x:v>
      </x:c>
      <x:c r="F33" s="112" t="str">
        <x:v>Completed</x:v>
      </x:c>
      <x:c r="G33" s="112" t="str">
        <x:v>true</x:v>
      </x:c>
      <x:c r="H33" s="112" t="str">
        <x:v>https://github.com/ahamad-dev/First-PRD/blob/main/report.text</x:v>
      </x:c>
      <x:c r="I33" s="112"/>
    </x:row>
    <x:row r="34">
      <x:c r="A34" s="112" t="n">
        <x:v>3</x:v>
      </x:c>
      <x:c r="B34" s="112" t="str">
        <x:v>SK Ahamad Alisha</x:v>
      </x:c>
      <x:c r="C34" s="112" t="str">
        <x:v>Member</x:v>
      </x:c>
      <x:c r="D34" s="112" t="str">
        <x:v>Tanderi Vishnu Priya</x:v>
      </x:c>
      <x:c r="E34" s="112" t="str">
        <x:v>priyapriya125sss@gmail.com</x:v>
      </x:c>
      <x:c r="F34" s="112" t="str">
        <x:v>Completed</x:v>
      </x:c>
      <x:c r="G34" s="112" t="str">
        <x:v>true</x:v>
      </x:c>
      <x:c r="H34" s="112" t="str">
        <x:v>https://github.com/ahamad-dev/First-PRD/blob/main/report.text</x:v>
      </x:c>
      <x:c r="I34" s="112"/>
    </x:row>
    <x:row r="35">
      <x:c r="A35" s="112" t="n">
        <x:v>3</x:v>
      </x:c>
      <x:c r="B35" s="112" t="str">
        <x:v>SK Ahamad Alisha</x:v>
      </x:c>
      <x:c r="C35" s="112" t="str">
        <x:v>Member</x:v>
      </x:c>
      <x:c r="D35" s="112" t="str">
        <x:v>Pavani S</x:v>
      </x:c>
      <x:c r="E35" s="112" t="str">
        <x:v>pavanisundar25@gmail.com</x:v>
      </x:c>
      <x:c r="F35" s="112" t="str">
        <x:v>Completed</x:v>
      </x:c>
      <x:c r="G35" s="112" t="str">
        <x:v>true</x:v>
      </x:c>
      <x:c r="H35" s="112" t="str">
        <x:v>https://github.com/ahamad-dev/First-PRD/blob/main/report.text</x:v>
      </x:c>
      <x:c r="I35" s="112"/>
    </x:row>
    <x:row r="36">
      <x:c r="A36" s="112" t="n">
        <x:v>3</x:v>
      </x:c>
      <x:c r="B36" s="112" t="str">
        <x:v>SK Ahamad Alisha</x:v>
      </x:c>
      <x:c r="C36" s="112" t="str">
        <x:v>Member</x:v>
      </x:c>
      <x:c r="D36" s="112" t="str">
        <x:v>Uma N</x:v>
      </x:c>
      <x:c r="E36" s="112" t="str">
        <x:v>umiuman05@gmail.com</x:v>
      </x:c>
      <x:c r="F36" s="112" t="str">
        <x:v>Completed</x:v>
      </x:c>
      <x:c r="G36" s="112" t="str">
        <x:v>true</x:v>
      </x:c>
      <x:c r="H36" s="112" t="str">
        <x:v>https://github.com/ahamad-dev/First-PRD/blob/main/report.text</x:v>
      </x:c>
      <x:c r="I36" s="112"/>
    </x:row>
    <x:row r="37">
      <x:c r="A37" s="112" t="n">
        <x:v>3</x:v>
      </x:c>
      <x:c r="B37" s="112" t="str">
        <x:v>SK Ahamad Alisha</x:v>
      </x:c>
      <x:c r="C37" s="112" t="str">
        <x:v>Member</x:v>
      </x:c>
      <x:c r="D37" s="112" t="str">
        <x:v>Prgathi sakshi</x:v>
      </x:c>
      <x:c r="E37" s="112" t="str">
        <x:v>pragatisakshi4@gmail.com</x:v>
      </x:c>
      <x:c r="F37" s="112" t="str">
        <x:v>Completed</x:v>
      </x:c>
      <x:c r="G37" s="112" t="str">
        <x:v>true</x:v>
      </x:c>
      <x:c r="H37" s="112" t="str">
        <x:v>https://github.com/ahamad-dev/First-PRD/blob/main/report.text</x:v>
      </x:c>
      <x:c r="I37" s="112"/>
    </x:row>
    <x:row r="38">
      <x:c r="A38" s="112" t="n">
        <x:v>3</x:v>
      </x:c>
      <x:c r="B38" s="112" t="str">
        <x:v>SK Ahamad Alisha</x:v>
      </x:c>
      <x:c r="C38" s="112" t="str">
        <x:v>Team Leader</x:v>
      </x:c>
      <x:c r="D38" s="112" t="str">
        <x:v>Ahamad Alisha SK</x:v>
      </x:c>
      <x:c r="E38" s="112" t="str">
        <x:v>shaikahamadalisha6865@gmail.com</x:v>
      </x:c>
      <x:c r="F38" s="112" t="str">
        <x:v>Completed</x:v>
      </x:c>
      <x:c r="G38" s="112" t="str">
        <x:v>true</x:v>
      </x:c>
      <x:c r="H38" s="112" t="str">
        <x:v>https://github.com/ahamad-dev/First-PRD/blob/main/report.text</x:v>
      </x:c>
      <x:c r="I38" s="112"/>
    </x:row>
    <x:row r="39">
      <x:c r="A39" s="112" t="n">
        <x:v>5</x:v>
      </x:c>
      <x:c r="B39" s="112" t="str">
        <x:v>Parikshith D</x:v>
      </x:c>
      <x:c r="C39" s="112" t="str">
        <x:v>Member</x:v>
      </x:c>
      <x:c r="D39" s="112" t="str">
        <x:v>Akshaya MR</x:v>
      </x:c>
      <x:c r="E39" s="112"/>
      <x:c r="F39" s="112" t="str">
        <x:v>Completed</x:v>
      </x:c>
      <x:c r="G39" s="112" t="str">
        <x:v>True</x:v>
      </x:c>
      <x:c r="H39" s="112" t="str">
        <x:v>https://github.com/Parigowda007/First-PRD/blob/main/Group%205%20TL%20Doc..</x:v>
      </x:c>
      <x:c r="I39" s="112" t="str">
        <x:v>Email not supplied in report</x:v>
      </x:c>
    </x:row>
    <x:row r="40">
      <x:c r="A40" s="112" t="n">
        <x:v>5</x:v>
      </x:c>
      <x:c r="B40" s="112" t="str">
        <x:v>Parikshith D</x:v>
      </x:c>
      <x:c r="C40" s="112" t="str">
        <x:v>Member</x:v>
      </x:c>
      <x:c r="D40" s="112" t="str">
        <x:v>Sinchana</x:v>
      </x:c>
      <x:c r="E40" s="112"/>
      <x:c r="F40" s="112" t="str">
        <x:v>Completed</x:v>
      </x:c>
      <x:c r="G40" s="112" t="str">
        <x:v>True</x:v>
      </x:c>
      <x:c r="H40" s="112" t="str">
        <x:v>https://github.com/Parigowda007/First-PRD/blob/main/Group%205%20TL%20Doc..</x:v>
      </x:c>
      <x:c r="I40" s="112" t="str">
        <x:v>Email not supplied in report</x:v>
      </x:c>
    </x:row>
    <x:row r="41">
      <x:c r="A41" s="112" t="n">
        <x:v>5</x:v>
      </x:c>
      <x:c r="B41" s="112" t="str">
        <x:v>Parikshith D</x:v>
      </x:c>
      <x:c r="C41" s="112" t="str">
        <x:v>Team Leader</x:v>
      </x:c>
      <x:c r="D41" s="112" t="str">
        <x:v>Parikshith</x:v>
      </x:c>
      <x:c r="E41" s="112"/>
      <x:c r="F41" s="112" t="str">
        <x:v>Completed</x:v>
      </x:c>
      <x:c r="G41" s="112" t="str">
        <x:v>True</x:v>
      </x:c>
      <x:c r="H41" s="112" t="str">
        <x:v>https://github.com/Parigowda007/First-PRD/blob/main/Group%205%20TL%20Doc..</x:v>
      </x:c>
      <x:c r="I41" s="112" t="str">
        <x:v>Email not supplied in report</x:v>
      </x:c>
    </x:row>
    <x:row r="42">
      <x:c r="A42" s="112" t="n">
        <x:v>5</x:v>
      </x:c>
      <x:c r="B42" s="112" t="str">
        <x:v>Parikshith D</x:v>
      </x:c>
      <x:c r="C42" s="112" t="str">
        <x:v>Member</x:v>
      </x:c>
      <x:c r="D42" s="112" t="str">
        <x:v>Varun</x:v>
      </x:c>
      <x:c r="E42" s="112"/>
      <x:c r="F42" s="112" t="str">
        <x:v>Completed</x:v>
      </x:c>
      <x:c r="G42" s="112" t="str">
        <x:v>True</x:v>
      </x:c>
      <x:c r="H42" s="112" t="str">
        <x:v>https://github.com/Parigowda007/First-PRD/blob/main/Group%205%20TL%20Doc..</x:v>
      </x:c>
      <x:c r="I42" s="112" t="str">
        <x:v>Email not supplied in report</x:v>
      </x:c>
    </x:row>
    <x:row r="43">
      <x:c r="A43" s="112" t="n">
        <x:v>5</x:v>
      </x:c>
      <x:c r="B43" s="112" t="str">
        <x:v>Parikshith D</x:v>
      </x:c>
      <x:c r="C43" s="112" t="str">
        <x:v>Member</x:v>
      </x:c>
      <x:c r="D43" s="112" t="str">
        <x:v>Shreyani</x:v>
      </x:c>
      <x:c r="E43" s="112"/>
      <x:c r="F43" s="112" t="str">
        <x:v>Completed</x:v>
      </x:c>
      <x:c r="G43" s="112" t="str">
        <x:v>True</x:v>
      </x:c>
      <x:c r="H43" s="112" t="str">
        <x:v>https://github.com/Parigowda007/First-PRD/blob/main/Group%205%20TL%20Doc..</x:v>
      </x:c>
      <x:c r="I43" s="112" t="str">
        <x:v>Email not supplied in report</x:v>
      </x:c>
    </x:row>
    <x:row r="44">
      <x:c r="A44" s="112" t="n">
        <x:v>5</x:v>
      </x:c>
      <x:c r="B44" s="112" t="str">
        <x:v>Parikshith D</x:v>
      </x:c>
      <x:c r="C44" s="112" t="str">
        <x:v>Member</x:v>
      </x:c>
      <x:c r="D44" s="112" t="str">
        <x:v>Jayasri</x:v>
      </x:c>
      <x:c r="E44" s="112"/>
      <x:c r="F44" s="112" t="str">
        <x:v>Completed</x:v>
      </x:c>
      <x:c r="G44" s="112" t="str">
        <x:v>True</x:v>
      </x:c>
      <x:c r="H44" s="112" t="str">
        <x:v>https://github.com/Parigowda007/First-PRD/blob/main/Group%205%20TL%20Doc..</x:v>
      </x:c>
      <x:c r="I44" s="112" t="str">
        <x:v>Email not supplied in report</x:v>
      </x:c>
    </x:row>
    <x:row r="45">
      <x:c r="A45" s="112" t="n">
        <x:v>5</x:v>
      </x:c>
      <x:c r="B45" s="112" t="str">
        <x:v>Parikshith D</x:v>
      </x:c>
      <x:c r="C45" s="112" t="str">
        <x:v>Member</x:v>
      </x:c>
      <x:c r="D45" s="112" t="str">
        <x:v>lahare Priya</x:v>
      </x:c>
      <x:c r="E45" s="112"/>
      <x:c r="F45" s="112" t="str">
        <x:v>Completed</x:v>
      </x:c>
      <x:c r="G45" s="112" t="str">
        <x:v>True</x:v>
      </x:c>
      <x:c r="H45" s="112" t="str">
        <x:v>https://github.com/Parigowda007/First-PRD/blob/main/Group%205%20TL%20Doc..</x:v>
      </x:c>
      <x:c r="I45" s="112" t="str">
        <x:v>Email not supplied in report</x:v>
      </x:c>
    </x:row>
    <x:row r="46">
      <x:c r="A46" s="112" t="n">
        <x:v>5</x:v>
      </x:c>
      <x:c r="B46" s="112" t="str">
        <x:v>Parikshith D</x:v>
      </x:c>
      <x:c r="C46" s="112" t="str">
        <x:v>Member</x:v>
      </x:c>
      <x:c r="D46" s="112" t="str">
        <x:v>Anamikabharti</x:v>
      </x:c>
      <x:c r="E46" s="112"/>
      <x:c r="F46" s="112" t="str">
        <x:v>Completed</x:v>
      </x:c>
      <x:c r="G46" s="112" t="str">
        <x:v>True</x:v>
      </x:c>
      <x:c r="H46" s="112" t="str">
        <x:v>https://github.com/Parigowda007/First-PRD/blob/main/Group%205%20TL%20Doc..</x:v>
      </x:c>
      <x:c r="I46" s="112" t="str">
        <x:v>Email not supplied in report</x:v>
      </x:c>
    </x:row>
    <x:row r="47">
      <x:c r="A47" s="112" t="n">
        <x:v>5</x:v>
      </x:c>
      <x:c r="B47" s="112" t="str">
        <x:v>Parikshith D</x:v>
      </x:c>
      <x:c r="C47" s="112" t="str">
        <x:v>Member</x:v>
      </x:c>
      <x:c r="D47" s="112" t="str">
        <x:v>Nikitha</x:v>
      </x:c>
      <x:c r="E47" s="112"/>
      <x:c r="F47" s="112" t="str">
        <x:v>Completed</x:v>
      </x:c>
      <x:c r="G47" s="112" t="str">
        <x:v>True</x:v>
      </x:c>
      <x:c r="H47" s="112" t="str">
        <x:v>https://github.com/Parigowda007/First-PRD/blob/main/Group%205%20TL%20Doc..</x:v>
      </x:c>
      <x:c r="I47" s="112" t="str">
        <x:v>Email not supplied in report</x:v>
      </x:c>
    </x:row>
    <x:row r="48">
      <x:c r="A48" s="112" t="n">
        <x:v>5</x:v>
      </x:c>
      <x:c r="B48" s="112" t="str">
        <x:v>Parikshith D</x:v>
      </x:c>
      <x:c r="C48" s="112" t="str">
        <x:v>Member</x:v>
      </x:c>
      <x:c r="D48" s="112" t="str">
        <x:v>Venkatesh</x:v>
      </x:c>
      <x:c r="E48" s="112"/>
      <x:c r="F48" s="112" t="str">
        <x:v>Completed</x:v>
      </x:c>
      <x:c r="G48" s="112" t="str">
        <x:v>True</x:v>
      </x:c>
      <x:c r="H48" s="112" t="str">
        <x:v>https://github.com/Parigowda007/First-PRD/blob/main/Group%205%20TL%20Doc..</x:v>
      </x:c>
      <x:c r="I48" s="112" t="str">
        <x:v>Email not supplied in report</x:v>
      </x:c>
    </x:row>
    <x:row r="49">
      <x:c r="A49" s="112" t="n">
        <x:v>5</x:v>
      </x:c>
      <x:c r="B49" s="112" t="str">
        <x:v>Parikshith D</x:v>
      </x:c>
      <x:c r="C49" s="112" t="str">
        <x:v>Member</x:v>
      </x:c>
      <x:c r="D49" s="112" t="str">
        <x:v>Hari Krishna</x:v>
      </x:c>
      <x:c r="E49" s="112"/>
      <x:c r="F49" s="112" t="str">
        <x:v>Completed</x:v>
      </x:c>
      <x:c r="G49" s="112" t="str">
        <x:v>True</x:v>
      </x:c>
      <x:c r="H49" s="112" t="str">
        <x:v>https://github.com/Parigowda007/First-PRD/blob/main/Group%205%20TL%20Doc..</x:v>
      </x:c>
      <x:c r="I49" s="112" t="str">
        <x:v>Email not supplied in report</x:v>
      </x:c>
    </x:row>
    <x:row r="50">
      <x:c r="A50" s="112" t="n">
        <x:v>5</x:v>
      </x:c>
      <x:c r="B50" s="112" t="str">
        <x:v>Parikshith D</x:v>
      </x:c>
      <x:c r="C50" s="112" t="str">
        <x:v>Member</x:v>
      </x:c>
      <x:c r="D50" s="112" t="str">
        <x:v>Vamsi</x:v>
      </x:c>
      <x:c r="E50" s="112"/>
      <x:c r="F50" s="112" t="str">
        <x:v>Completed</x:v>
      </x:c>
      <x:c r="G50" s="112" t="str">
        <x:v>True</x:v>
      </x:c>
      <x:c r="H50" s="112" t="str">
        <x:v>https://github.com/Parigowda007/First-PRD/blob/main/Group%205%20TL%20Doc..</x:v>
      </x:c>
      <x:c r="I50" s="112" t="str">
        <x:v>Email not supplied in report</x:v>
      </x:c>
    </x:row>
    <x:row r="51">
      <x:c r="A51" s="112" t="n">
        <x:v>7</x:v>
      </x:c>
      <x:c r="B51" s="112" t="str">
        <x:v>Bikash Behera</x:v>
      </x:c>
      <x:c r="C51" s="112" t="str">
        <x:v>Member; marked TL in report</x:v>
      </x:c>
      <x:c r="D51" s="112" t="str">
        <x:v>Mohammed Fahad Khan</x:v>
      </x:c>
      <x:c r="E51" s="112" t="str">
        <x:v>fahad32423khan5426@gmail.com</x:v>
      </x:c>
      <x:c r="F51" s="112" t="str">
        <x:v>Not Completed</x:v>
      </x:c>
      <x:c r="G51" s="112" t="str">
        <x:v>False</x:v>
      </x:c>
      <x:c r="H51" s="112" t="str">
        <x:v>https://github.com/Biku2004/First-PRD/blob/main/Team%20Data.md</x:v>
      </x:c>
      <x:c r="I51" s="112" t="str">
        <x:v>TL mismatch: Day 2 lists Bikash Behera as TL</x:v>
      </x:c>
    </x:row>
    <x:row r="52">
      <x:c r="A52" s="112" t="n">
        <x:v>7</x:v>
      </x:c>
      <x:c r="B52" s="112" t="str">
        <x:v>Bikash Behera</x:v>
      </x:c>
      <x:c r="C52" s="112" t="str">
        <x:v>Member</x:v>
      </x:c>
      <x:c r="D52" s="112" t="str">
        <x:v>Karthika. S</x:v>
      </x:c>
      <x:c r="E52" s="112" t="str">
        <x:v>karthikasekar246@gmail.com</x:v>
      </x:c>
      <x:c r="F52" s="112" t="str">
        <x:v>Completed</x:v>
      </x:c>
      <x:c r="G52" s="112" t="str">
        <x:v>True</x:v>
      </x:c>
      <x:c r="H52" s="112" t="str">
        <x:v>https://github.com/Biku2004/First-PRD/blob/main/Team%20Data.md</x:v>
      </x:c>
      <x:c r="I52" s="112"/>
    </x:row>
    <x:row r="53">
      <x:c r="A53" s="112" t="n">
        <x:v>7</x:v>
      </x:c>
      <x:c r="B53" s="112" t="str">
        <x:v>Bikash Behera</x:v>
      </x:c>
      <x:c r="C53" s="112" t="str">
        <x:v>Member</x:v>
      </x:c>
      <x:c r="D53" s="112" t="str">
        <x:v>Nandini. K</x:v>
      </x:c>
      <x:c r="E53" s="112" t="str">
        <x:v>nandinikothapalli2@gmail.com</x:v>
      </x:c>
      <x:c r="F53" s="112" t="str">
        <x:v>Completed</x:v>
      </x:c>
      <x:c r="G53" s="112" t="str">
        <x:v>True</x:v>
      </x:c>
      <x:c r="H53" s="112" t="str">
        <x:v>https://github.com/Biku2004/First-PRD/blob/main/Team%20Data.md</x:v>
      </x:c>
      <x:c r="I53" s="112"/>
    </x:row>
    <x:row r="54">
      <x:c r="A54" s="112" t="n">
        <x:v>7</x:v>
      </x:c>
      <x:c r="B54" s="112" t="str">
        <x:v>Bikash Behera</x:v>
      </x:c>
      <x:c r="C54" s="112" t="str">
        <x:v>Member</x:v>
      </x:c>
      <x:c r="D54" s="112" t="str">
        <x:v>Srilakshmi. S</x:v>
      </x:c>
      <x:c r="E54" s="112" t="str">
        <x:v>s.srilakshmi0308@gmail.com</x:v>
      </x:c>
      <x:c r="F54" s="112" t="str">
        <x:v>Completed</x:v>
      </x:c>
      <x:c r="G54" s="112" t="str">
        <x:v>True</x:v>
      </x:c>
      <x:c r="H54" s="112" t="str">
        <x:v>https://github.com/Biku2004/First-PRD/blob/main/Team%20Data.md</x:v>
      </x:c>
      <x:c r="I54" s="112"/>
    </x:row>
    <x:row r="55">
      <x:c r="A55" s="112" t="n">
        <x:v>7</x:v>
      </x:c>
      <x:c r="B55" s="112" t="str">
        <x:v>Bikash Behera</x:v>
      </x:c>
      <x:c r="C55" s="112" t="str">
        <x:v>Member</x:v>
      </x:c>
      <x:c r="D55" s="112" t="str">
        <x:v>Hema Sri Durga. K</x:v>
      </x:c>
      <x:c r="E55" s="112" t="str">
        <x:v>hemasri1874@gmail.com</x:v>
      </x:c>
      <x:c r="F55" s="112" t="str">
        <x:v>Completed</x:v>
      </x:c>
      <x:c r="G55" s="112" t="str">
        <x:v>True</x:v>
      </x:c>
      <x:c r="H55" s="112" t="str">
        <x:v>https://github.com/Biku2004/First-PRD/blob/main/Team%20Data.md</x:v>
      </x:c>
      <x:c r="I55" s="112"/>
    </x:row>
    <x:row r="56">
      <x:c r="A56" s="112" t="n">
        <x:v>7</x:v>
      </x:c>
      <x:c r="B56" s="112" t="str">
        <x:v>Bikash Behera</x:v>
      </x:c>
      <x:c r="C56" s="112" t="str">
        <x:v>Member</x:v>
      </x:c>
      <x:c r="D56" s="112" t="str">
        <x:v>Sravani. K</x:v>
      </x:c>
      <x:c r="E56" s="112" t="str">
        <x:v>kopparapusravani2005@gmail.com</x:v>
      </x:c>
      <x:c r="F56" s="112" t="str">
        <x:v>Completed</x:v>
      </x:c>
      <x:c r="G56" s="112" t="str">
        <x:v>True</x:v>
      </x:c>
      <x:c r="H56" s="112" t="str">
        <x:v>https://github.com/Biku2004/First-PRD/blob/main/Team%20Data.md</x:v>
      </x:c>
      <x:c r="I56" s="112"/>
    </x:row>
    <x:row r="57">
      <x:c r="A57" s="112" t="n">
        <x:v>7</x:v>
      </x:c>
      <x:c r="B57" s="112" t="str">
        <x:v>Bikash Behera</x:v>
      </x:c>
      <x:c r="C57" s="112" t="str">
        <x:v>Member</x:v>
      </x:c>
      <x:c r="D57" s="112" t="str">
        <x:v>P. Pavitra Reddy</x:v>
      </x:c>
      <x:c r="E57" s="112" t="str">
        <x:v>pavitrareddy785@gmail.com</x:v>
      </x:c>
      <x:c r="F57" s="112" t="str">
        <x:v>Completed</x:v>
      </x:c>
      <x:c r="G57" s="112" t="str">
        <x:v>True</x:v>
      </x:c>
      <x:c r="H57" s="112" t="str">
        <x:v>https://github.com/Biku2004/First-PRD/blob/main/Team%20Data.md</x:v>
      </x:c>
      <x:c r="I57" s="112"/>
    </x:row>
    <x:row r="58">
      <x:c r="A58" s="112" t="n">
        <x:v>7</x:v>
      </x:c>
      <x:c r="B58" s="112" t="str">
        <x:v>Bikash Behera</x:v>
      </x:c>
      <x:c r="C58" s="112" t="str">
        <x:v>Member</x:v>
      </x:c>
      <x:c r="D58" s="112" t="str">
        <x:v>P. Shaguftha</x:v>
      </x:c>
      <x:c r="E58" s="112" t="str">
        <x:v>2131shaguftha@gmail.com</x:v>
      </x:c>
      <x:c r="F58" s="112" t="str">
        <x:v>Completed</x:v>
      </x:c>
      <x:c r="G58" s="112" t="str">
        <x:v>True</x:v>
      </x:c>
      <x:c r="H58" s="112" t="str">
        <x:v>https://github.com/Biku2004/First-PRD/blob/main/Team%20Data.md</x:v>
      </x:c>
      <x:c r="I58" s="112"/>
    </x:row>
    <x:row r="59">
      <x:c r="A59" s="112" t="n">
        <x:v>7</x:v>
      </x:c>
      <x:c r="B59" s="112" t="str">
        <x:v>Bikash Behera</x:v>
      </x:c>
      <x:c r="C59" s="112" t="str">
        <x:v>Member</x:v>
      </x:c>
      <x:c r="D59" s="112" t="str">
        <x:v>Shaik Nawaz</x:v>
      </x:c>
      <x:c r="E59" s="112" t="str">
        <x:v>nawaz9704384@gmail.com</x:v>
      </x:c>
      <x:c r="F59" s="112" t="str">
        <x:v>Completed</x:v>
      </x:c>
      <x:c r="G59" s="112" t="str">
        <x:v>True</x:v>
      </x:c>
      <x:c r="H59" s="112" t="str">
        <x:v>https://github.com/Biku2004/First-PRD/blob/main/Team%20Data.md</x:v>
      </x:c>
      <x:c r="I59" s="112"/>
    </x:row>
    <x:row r="60">
      <x:c r="A60" s="112" t="n">
        <x:v>7</x:v>
      </x:c>
      <x:c r="B60" s="112" t="str">
        <x:v>Bikash Behera</x:v>
      </x:c>
      <x:c r="C60" s="112" t="str">
        <x:v>Team Leader (per Day 2)</x:v>
      </x:c>
      <x:c r="D60" s="112" t="str">
        <x:v>Bikash Behera</x:v>
      </x:c>
      <x:c r="E60" s="112" t="str">
        <x:v>bikash.behera24.04.2004@gmail.com</x:v>
      </x:c>
      <x:c r="F60" s="112" t="str">
        <x:v>Completed</x:v>
      </x:c>
      <x:c r="G60" s="112" t="str">
        <x:v>true</x:v>
      </x:c>
      <x:c r="H60" s="112" t="str">
        <x:v>https://github.com/Biku2004/First-PRD/blob/main/Team%20Data.md</x:v>
      </x:c>
      <x:c r="I60" s="112" t="str">
        <x:v>Report marks Mohammed Fahad Khan as TL</x:v>
      </x:c>
    </x:row>
    <x:row r="61">
      <x:c r="A61" s="112" t="n">
        <x:v>7</x:v>
      </x:c>
      <x:c r="B61" s="112" t="str">
        <x:v>Bikash Behera</x:v>
      </x:c>
      <x:c r="C61" s="112" t="str">
        <x:v>Member</x:v>
      </x:c>
      <x:c r="D61" s="112" t="str">
        <x:v>Aman Chauhan</x:v>
      </x:c>
      <x:c r="E61" s="112" t="str">
        <x:v>amanchauhan09102003@gmail.com</x:v>
      </x:c>
      <x:c r="F61" s="112" t="str">
        <x:v>Completed</x:v>
      </x:c>
      <x:c r="G61" s="112" t="str">
        <x:v>True</x:v>
      </x:c>
      <x:c r="H61" s="112" t="str">
        <x:v>https://github.com/Biku2004/First-PRD/blob/main/Team%20Data.md</x:v>
      </x:c>
      <x:c r="I61" s="112"/>
    </x:row>
    <x:row r="62">
      <x:c r="A62" s="112" t="n">
        <x:v>7</x:v>
      </x:c>
      <x:c r="B62" s="112" t="str">
        <x:v>Bikash Behera</x:v>
      </x:c>
      <x:c r="C62" s="112" t="str">
        <x:v>Member</x:v>
      </x:c>
      <x:c r="D62" s="112" t="str">
        <x:v>Koteswara Rao. K</x:v>
      </x:c>
      <x:c r="E62" s="112" t="str">
        <x:v>kotikondepati950@gmail.com</x:v>
      </x:c>
      <x:c r="F62" s="112" t="str">
        <x:v>Completed</x:v>
      </x:c>
      <x:c r="G62" s="112" t="str">
        <x:v>true</x:v>
      </x:c>
      <x:c r="H62" s="112" t="str">
        <x:v>https://github.com/Biku2004/First-PRD/blob/main/Team%20Data.md</x:v>
      </x:c>
      <x:c r="I62" s="112"/>
    </x:row>
    <x:row r="63">
      <x:c r="A63" s="112" t="n">
        <x:v>8</x:v>
      </x:c>
      <x:c r="B63" s="112" t="str">
        <x:v>Manish Soni</x:v>
      </x:c>
      <x:c r="C63" s="112" t="str">
        <x:v>Team Leader</x:v>
      </x:c>
      <x:c r="D63" s="112" t="str">
        <x:v>Manish Soni</x:v>
      </x:c>
      <x:c r="E63" s="112" t="str">
        <x:v>manishsoni135790@gmail.com</x:v>
      </x:c>
      <x:c r="F63" s="112" t="str">
        <x:v>Completed</x:v>
      </x:c>
      <x:c r="G63" s="112" t="str">
        <x:v>Yes</x:v>
      </x:c>
      <x:c r="H63" s="112" t="str">
        <x:v>https://github.com/manish23092003/First-PRD/blob/main/report.txt</x:v>
      </x:c>
      <x:c r="I63" s="112"/>
    </x:row>
    <x:row r="64">
      <x:c r="A64" s="112" t="n">
        <x:v>8</x:v>
      </x:c>
      <x:c r="B64" s="112" t="str">
        <x:v>Manish Soni</x:v>
      </x:c>
      <x:c r="C64" s="112" t="str">
        <x:v>Member</x:v>
      </x:c>
      <x:c r="D64" s="112" t="str">
        <x:v>Yogesh M</x:v>
      </x:c>
      <x:c r="E64" s="112" t="str">
        <x:v>yogeshwtp@gmail.com</x:v>
      </x:c>
      <x:c r="F64" s="112" t="str">
        <x:v>Completed</x:v>
      </x:c>
      <x:c r="G64" s="112" t="str">
        <x:v>Yes</x:v>
      </x:c>
      <x:c r="H64" s="112" t="str">
        <x:v>https://github.com/manish23092003/First-PRD/blob/main/report.txt</x:v>
      </x:c>
      <x:c r="I64" s="112"/>
    </x:row>
    <x:row r="65">
      <x:c r="A65" s="112" t="n">
        <x:v>8</x:v>
      </x:c>
      <x:c r="B65" s="112" t="str">
        <x:v>Manish Soni</x:v>
      </x:c>
      <x:c r="C65" s="112" t="str">
        <x:v>Member</x:v>
      </x:c>
      <x:c r="D65" s="112" t="str">
        <x:v>Rajendra Behera</x:v>
      </x:c>
      <x:c r="E65" s="112" t="str">
        <x:v>rajendrarb3184@gmail.com</x:v>
      </x:c>
      <x:c r="F65" s="112" t="str">
        <x:v>Completed</x:v>
      </x:c>
      <x:c r="G65" s="112" t="str">
        <x:v>Yes</x:v>
      </x:c>
      <x:c r="H65" s="112" t="str">
        <x:v>https://github.com/manish23092003/First-PRD/blob/main/report.txt</x:v>
      </x:c>
      <x:c r="I65" s="112"/>
    </x:row>
    <x:row r="66">
      <x:c r="A66" s="112" t="n">
        <x:v>8</x:v>
      </x:c>
      <x:c r="B66" s="112" t="str">
        <x:v>Manish Soni</x:v>
      </x:c>
      <x:c r="C66" s="112" t="str">
        <x:v>Member</x:v>
      </x:c>
      <x:c r="D66" s="112" t="str">
        <x:v>Akshata Ashok Karajagi</x:v>
      </x:c>
      <x:c r="E66" s="112" t="str">
        <x:v>karajagiakshata@gmail.com</x:v>
      </x:c>
      <x:c r="F66" s="112" t="str">
        <x:v>Completed</x:v>
      </x:c>
      <x:c r="G66" s="112" t="str">
        <x:v>Yes</x:v>
      </x:c>
      <x:c r="H66" s="112" t="str">
        <x:v>https://github.com/manish23092003/First-PRD/blob/main/report.txt</x:v>
      </x:c>
      <x:c r="I66" s="112"/>
    </x:row>
    <x:row r="67">
      <x:c r="A67" s="112" t="n">
        <x:v>8</x:v>
      </x:c>
      <x:c r="B67" s="112" t="str">
        <x:v>Manish Soni</x:v>
      </x:c>
      <x:c r="C67" s="112" t="str">
        <x:v>Member</x:v>
      </x:c>
      <x:c r="D67" s="112" t="str">
        <x:v>Shrushti Shivanand Tambe</x:v>
      </x:c>
      <x:c r="E67" s="112" t="str">
        <x:v>shrushtitambe048@gmail.com</x:v>
      </x:c>
      <x:c r="F67" s="112" t="str">
        <x:v>Not Completed</x:v>
      </x:c>
      <x:c r="G67" s="112" t="str">
        <x:v>No</x:v>
      </x:c>
      <x:c r="H67" s="112" t="str">
        <x:v>https://github.com/manish23092003/First-PRD/blob/main/report.txt</x:v>
      </x:c>
      <x:c r="I67" s="112"/>
    </x:row>
    <x:row r="68">
      <x:c r="A68" s="112" t="n">
        <x:v>8</x:v>
      </x:c>
      <x:c r="B68" s="112" t="str">
        <x:v>Manish Soni</x:v>
      </x:c>
      <x:c r="C68" s="112" t="str">
        <x:v>Member</x:v>
      </x:c>
      <x:c r="D68" s="112" t="str">
        <x:v>Kakumanu Pujitha</x:v>
      </x:c>
      <x:c r="E68" s="112" t="str">
        <x:v>kakumanupujitha52@gmail.com</x:v>
      </x:c>
      <x:c r="F68" s="112" t="str">
        <x:v>Completed</x:v>
      </x:c>
      <x:c r="G68" s="112" t="str">
        <x:v>Yes</x:v>
      </x:c>
      <x:c r="H68" s="112" t="str">
        <x:v>https://github.com/manish23092003/First-PRD/blob/main/report.txt</x:v>
      </x:c>
      <x:c r="I68" s="112"/>
    </x:row>
    <x:row r="69">
      <x:c r="A69" s="112" t="n">
        <x:v>8</x:v>
      </x:c>
      <x:c r="B69" s="112" t="str">
        <x:v>Manish Soni</x:v>
      </x:c>
      <x:c r="C69" s="112" t="str">
        <x:v>Member</x:v>
      </x:c>
      <x:c r="D69" s="112" t="str">
        <x:v>Velvlauri Thejaswini</x:v>
      </x:c>
      <x:c r="E69" s="112" t="str">
        <x:v>thejuvelvaluri@gmail.vom</x:v>
      </x:c>
      <x:c r="F69" s="112" t="str">
        <x:v>Completed</x:v>
      </x:c>
      <x:c r="G69" s="112" t="str">
        <x:v>Yes</x:v>
      </x:c>
      <x:c r="H69" s="112" t="str">
        <x:v>https://github.com/manish23092003/First-PRD/blob/main/report.txt</x:v>
      </x:c>
      <x:c r="I69" s="112" t="str">
        <x:v>Email appears malformed in source</x:v>
      </x:c>
    </x:row>
    <x:row r="70">
      <x:c r="A70" s="112" t="n">
        <x:v>8</x:v>
      </x:c>
      <x:c r="B70" s="112" t="str">
        <x:v>Manish Soni</x:v>
      </x:c>
      <x:c r="C70" s="112" t="str">
        <x:v>Member</x:v>
      </x:c>
      <x:c r="D70" s="112" t="str">
        <x:v>K.Rekha</x:v>
      </x:c>
      <x:c r="E70" s="112" t="str">
        <x:v>9392rekha@gmail.com</x:v>
      </x:c>
      <x:c r="F70" s="112" t="str">
        <x:v>Completed</x:v>
      </x:c>
      <x:c r="G70" s="112" t="str">
        <x:v>Yes</x:v>
      </x:c>
      <x:c r="H70" s="112" t="str">
        <x:v>https://github.com/manish23092003/First-PRD/blob/main/report.txt</x:v>
      </x:c>
      <x:c r="I70" s="112"/>
    </x:row>
    <x:row r="71">
      <x:c r="A71" s="112" t="n">
        <x:v>8</x:v>
      </x:c>
      <x:c r="B71" s="112" t="str">
        <x:v>Manish Soni</x:v>
      </x:c>
      <x:c r="C71" s="112" t="str">
        <x:v>Member</x:v>
      </x:c>
      <x:c r="D71" s="112" t="str">
        <x:v>Ankitha Siri Maddani</x:v>
      </x:c>
      <x:c r="E71" s="112" t="str">
        <x:v>ankithasirim@gmail.com</x:v>
      </x:c>
      <x:c r="F71" s="112" t="str">
        <x:v>Completed</x:v>
      </x:c>
      <x:c r="G71" s="112" t="str">
        <x:v>Yes</x:v>
      </x:c>
      <x:c r="H71" s="112" t="str">
        <x:v>https://github.com/manish23092003/First-PRD/blob/main/report.txt</x:v>
      </x:c>
      <x:c r="I71" s="112"/>
    </x:row>
    <x:row r="72">
      <x:c r="A72" s="112" t="n">
        <x:v>8</x:v>
      </x:c>
      <x:c r="B72" s="112" t="str">
        <x:v>Manish Soni</x:v>
      </x:c>
      <x:c r="C72" s="112" t="str">
        <x:v>Member</x:v>
      </x:c>
      <x:c r="D72" s="112" t="str">
        <x:v>K.Susmitha Reddy</x:v>
      </x:c>
      <x:c r="E72" s="112" t="str">
        <x:v>kempireddygarisusmithareddy@gmail.com</x:v>
      </x:c>
      <x:c r="F72" s="112" t="str">
        <x:v>Completed</x:v>
      </x:c>
      <x:c r="G72" s="112" t="str">
        <x:v>Yes</x:v>
      </x:c>
      <x:c r="H72" s="112" t="str">
        <x:v>https://github.com/manish23092003/First-PRD/blob/main/report.txt</x:v>
      </x:c>
      <x:c r="I72" s="112"/>
    </x:row>
    <x:row r="73">
      <x:c r="A73" s="112" t="n">
        <x:v>8</x:v>
      </x:c>
      <x:c r="B73" s="112" t="str">
        <x:v>Manish Soni</x:v>
      </x:c>
      <x:c r="C73" s="112" t="str">
        <x:v>Member</x:v>
      </x:c>
      <x:c r="D73" s="112" t="str">
        <x:v>HemachandraVijay M</x:v>
      </x:c>
      <x:c r="E73" s="112" t="str">
        <x:v>mhemachandravijay347@gmail.com</x:v>
      </x:c>
      <x:c r="F73" s="112" t="str">
        <x:v>Completed</x:v>
      </x:c>
      <x:c r="G73" s="112" t="str">
        <x:v>Yes</x:v>
      </x:c>
      <x:c r="H73" s="112" t="str">
        <x:v>https://github.com/manish23092003/First-PRD/blob/main/report.txt</x:v>
      </x:c>
      <x:c r="I73" s="112"/>
    </x:row>
    <x:row r="74">
      <x:c r="A74" s="112" t="n">
        <x:v>8</x:v>
      </x:c>
      <x:c r="B74" s="112" t="str">
        <x:v>Manish Soni</x:v>
      </x:c>
      <x:c r="C74" s="112" t="str">
        <x:v>Member</x:v>
      </x:c>
      <x:c r="D74" s="112" t="str">
        <x:v>Rahul Kumar</x:v>
      </x:c>
      <x:c r="E74" s="112" t="str">
        <x:v>rkum6094@gmail.com</x:v>
      </x:c>
      <x:c r="F74" s="112" t="str">
        <x:v>Completed</x:v>
      </x:c>
      <x:c r="G74" s="112" t="str">
        <x:v>Yes</x:v>
      </x:c>
      <x:c r="H74" s="112" t="str">
        <x:v>https://github.com/manish23092003/First-PRD/blob/main/report.txt</x:v>
      </x:c>
      <x:c r="I74" s="112"/>
    </x:row>
    <x:row r="75">
      <x:c r="A75" s="112" t="n">
        <x:v>9</x:v>
      </x:c>
      <x:c r="B75" s="112" t="str">
        <x:v>Pavithra Sharma</x:v>
      </x:c>
      <x:c r="C75" s="112" t="str">
        <x:v>Team Leader</x:v>
      </x:c>
      <x:c r="D75" s="112" t="str">
        <x:v>Pavithra Sharma</x:v>
      </x:c>
      <x:c r="E75" s="112" t="str">
        <x:v>pavithrasharma456@gmail.com</x:v>
      </x:c>
      <x:c r="F75" s="112" t="str">
        <x:v>Completed</x:v>
      </x:c>
      <x:c r="G75" s="112" t="str">
        <x:v>True</x:v>
      </x:c>
      <x:c r="H75" s="112" t="str">
        <x:v>https://github.com/PavithraSharma14/First-PRD/blob/main/report/report.txt</x:v>
      </x:c>
      <x:c r="I75" s="112"/>
    </x:row>
    <x:row r="76">
      <x:c r="A76" s="112" t="n">
        <x:v>9</x:v>
      </x:c>
      <x:c r="B76" s="112" t="str">
        <x:v>Pavithra Sharma</x:v>
      </x:c>
      <x:c r="C76" s="112" t="str">
        <x:v>Member</x:v>
      </x:c>
      <x:c r="D76" s="112" t="str">
        <x:v>Varsha</x:v>
      </x:c>
      <x:c r="E76" s="112" t="str">
        <x:v>chinthapatlavarsha@gmail.com</x:v>
      </x:c>
      <x:c r="F76" s="112" t="str">
        <x:v>Completed</x:v>
      </x:c>
      <x:c r="G76" s="112" t="str">
        <x:v>True</x:v>
      </x:c>
      <x:c r="H76" s="112" t="str">
        <x:v>https://github.com/PavithraSharma14/First-PRD/blob/main/report/report.txt</x:v>
      </x:c>
      <x:c r="I76" s="112"/>
    </x:row>
    <x:row r="77">
      <x:c r="A77" s="112" t="n">
        <x:v>9</x:v>
      </x:c>
      <x:c r="B77" s="112" t="str">
        <x:v>Pavithra Sharma</x:v>
      </x:c>
      <x:c r="C77" s="112" t="str">
        <x:v>Member</x:v>
      </x:c>
      <x:c r="D77" s="112" t="str">
        <x:v>Manasa</x:v>
      </x:c>
      <x:c r="E77" s="112" t="str">
        <x:v>manasachandragiri12@gmail.com</x:v>
      </x:c>
      <x:c r="F77" s="112" t="str">
        <x:v>Completed</x:v>
      </x:c>
      <x:c r="G77" s="112" t="str">
        <x:v>True</x:v>
      </x:c>
      <x:c r="H77" s="112" t="str">
        <x:v>https://github.com/PavithraSharma14/First-PRD/blob/main/report/report.txt</x:v>
      </x:c>
      <x:c r="I77" s="112"/>
    </x:row>
    <x:row r="78">
      <x:c r="A78" s="112" t="n">
        <x:v>9</x:v>
      </x:c>
      <x:c r="B78" s="112" t="str">
        <x:v>Pavithra Sharma</x:v>
      </x:c>
      <x:c r="C78" s="112" t="str">
        <x:v>Member</x:v>
      </x:c>
      <x:c r="D78" s="112" t="str">
        <x:v>Sravya</x:v>
      </x:c>
      <x:c r="E78" s="112" t="str">
        <x:v>sravyaemmadi03@gmail.com</x:v>
      </x:c>
      <x:c r="F78" s="112" t="str">
        <x:v>Completed</x:v>
      </x:c>
      <x:c r="G78" s="112" t="str">
        <x:v>True</x:v>
      </x:c>
      <x:c r="H78" s="112" t="str">
        <x:v>https://github.com/PavithraSharma14/First-PRD/blob/main/report/report.txt</x:v>
      </x:c>
      <x:c r="I78" s="112"/>
    </x:row>
    <x:row r="79">
      <x:c r="A79" s="112" t="n">
        <x:v>9</x:v>
      </x:c>
      <x:c r="B79" s="112" t="str">
        <x:v>Pavithra Sharma</x:v>
      </x:c>
      <x:c r="C79" s="112" t="str">
        <x:v>Member</x:v>
      </x:c>
      <x:c r="D79" s="112" t="str">
        <x:v>Pavithra</x:v>
      </x:c>
      <x:c r="E79" s="112" t="str">
        <x:v>k.pavithra9573@gmail.com</x:v>
      </x:c>
      <x:c r="F79" s="112" t="str">
        <x:v>Completed</x:v>
      </x:c>
      <x:c r="G79" s="112" t="str">
        <x:v>True</x:v>
      </x:c>
      <x:c r="H79" s="112" t="str">
        <x:v>https://github.com/PavithraSharma14/First-PRD/blob/main/report/report.txt</x:v>
      </x:c>
      <x:c r="I79" s="112"/>
    </x:row>
    <x:row r="80">
      <x:c r="A80" s="112" t="n">
        <x:v>9</x:v>
      </x:c>
      <x:c r="B80" s="112" t="str">
        <x:v>Pavithra Sharma</x:v>
      </x:c>
      <x:c r="C80" s="112" t="str">
        <x:v>Member</x:v>
      </x:c>
      <x:c r="D80" s="112" t="str">
        <x:v>M.Srinivasa</x:v>
      </x:c>
      <x:c r="E80" s="112" t="str">
        <x:v>srinivasamannepula7@gmail.com</x:v>
      </x:c>
      <x:c r="F80" s="112" t="str">
        <x:v>Completed</x:v>
      </x:c>
      <x:c r="G80" s="112" t="str">
        <x:v>True</x:v>
      </x:c>
      <x:c r="H80" s="112" t="str">
        <x:v>https://github.com/PavithraSharma14/First-PRD/blob/main/report/report.txt</x:v>
      </x:c>
      <x:c r="I80" s="112"/>
    </x:row>
    <x:row r="81">
      <x:c r="A81" s="112" t="n">
        <x:v>9</x:v>
      </x:c>
      <x:c r="B81" s="112" t="str">
        <x:v>Pavithra Sharma</x:v>
      </x:c>
      <x:c r="C81" s="112" t="str">
        <x:v>Member</x:v>
      </x:c>
      <x:c r="D81" s="112" t="str">
        <x:v>Sonu Yadav</x:v>
      </x:c>
      <x:c r="E81" s="112" t="str">
        <x:v>sonuskyadav20@gmail.com</x:v>
      </x:c>
      <x:c r="F81" s="112" t="str">
        <x:v>Completed</x:v>
      </x:c>
      <x:c r="G81" s="112" t="str">
        <x:v>True</x:v>
      </x:c>
      <x:c r="H81" s="112" t="str">
        <x:v>https://github.com/PavithraSharma14/First-PRD/blob/main/report/report.txt</x:v>
      </x:c>
      <x:c r="I81" s="112"/>
    </x:row>
    <x:row r="82">
      <x:c r="A82" s="112" t="n">
        <x:v>9</x:v>
      </x:c>
      <x:c r="B82" s="112" t="str">
        <x:v>Pavithra Sharma</x:v>
      </x:c>
      <x:c r="C82" s="112" t="str">
        <x:v>Member</x:v>
      </x:c>
      <x:c r="D82" s="112" t="str">
        <x:v>Sriram a s</x:v>
      </x:c>
      <x:c r="E82" s="112" t="str">
        <x:v>itsriramas@gmail.com</x:v>
      </x:c>
      <x:c r="F82" s="112" t="str">
        <x:v>Completed</x:v>
      </x:c>
      <x:c r="G82" s="112" t="str">
        <x:v>True</x:v>
      </x:c>
      <x:c r="H82" s="112" t="str">
        <x:v>https://github.com/PavithraSharma14/First-PRD/blob/main/report/report.txt</x:v>
      </x:c>
      <x:c r="I82" s="112"/>
    </x:row>
    <x:row r="83">
      <x:c r="A83" s="112" t="n">
        <x:v>9</x:v>
      </x:c>
      <x:c r="B83" s="112" t="str">
        <x:v>Pavithra Sharma</x:v>
      </x:c>
      <x:c r="C83" s="112" t="str">
        <x:v>Member</x:v>
      </x:c>
      <x:c r="D83" s="112" t="str">
        <x:v>Shaik Haseena Banu</x:v>
      </x:c>
      <x:c r="E83" s="112" t="str">
        <x:v>shaikbanu1712@gmail.com</x:v>
      </x:c>
      <x:c r="F83" s="112" t="str">
        <x:v>Completed</x:v>
      </x:c>
      <x:c r="G83" s="112" t="str">
        <x:v>True</x:v>
      </x:c>
      <x:c r="H83" s="112" t="str">
        <x:v>https://github.com/PavithraSharma14/First-PRD/blob/main/report/report.txt</x:v>
      </x:c>
      <x:c r="I83" s="112"/>
    </x:row>
    <x:row r="84">
      <x:c r="A84" s="112" t="n">
        <x:v>9</x:v>
      </x:c>
      <x:c r="B84" s="112" t="str">
        <x:v>Pavithra Sharma</x:v>
      </x:c>
      <x:c r="C84" s="112" t="str">
        <x:v>Member</x:v>
      </x:c>
      <x:c r="D84" s="112" t="str">
        <x:v>Katika Uday Kumar</x:v>
      </x:c>
      <x:c r="E84" s="112" t="str">
        <x:v>udaykumar.katikauk@gmail.com</x:v>
      </x:c>
      <x:c r="F84" s="112" t="str">
        <x:v>Completed</x:v>
      </x:c>
      <x:c r="G84" s="112" t="str">
        <x:v>True</x:v>
      </x:c>
      <x:c r="H84" s="112" t="str">
        <x:v>https://github.com/PavithraSharma14/First-PRD/blob/main/report/report.txt</x:v>
      </x:c>
      <x:c r="I84" s="112"/>
    </x:row>
    <x:row r="85">
      <x:c r="A85" s="112" t="n">
        <x:v>9</x:v>
      </x:c>
      <x:c r="B85" s="112" t="str">
        <x:v>Pavithra Sharma</x:v>
      </x:c>
      <x:c r="C85" s="112" t="str">
        <x:v>Member</x:v>
      </x:c>
      <x:c r="D85" s="112" t="str">
        <x:v>Yashwanth Peddakudala</x:v>
      </x:c>
      <x:c r="E85" s="112" t="str">
        <x:v>yashwanthpeddakudala@gmail.com</x:v>
      </x:c>
      <x:c r="F85" s="112" t="str">
        <x:v>Completed</x:v>
      </x:c>
      <x:c r="G85" s="112" t="str">
        <x:v>True</x:v>
      </x:c>
      <x:c r="H85" s="112" t="str">
        <x:v>https://github.com/PavithraSharma14/First-PRD/blob/main/report/report.txt</x:v>
      </x:c>
      <x:c r="I85" s="112"/>
    </x:row>
    <x:row r="86">
      <x:c r="A86" s="112" t="n">
        <x:v>9</x:v>
      </x:c>
      <x:c r="B86" s="112" t="str">
        <x:v>Pavithra Sharma</x:v>
      </x:c>
      <x:c r="C86" s="112" t="str">
        <x:v>Member</x:v>
      </x:c>
      <x:c r="D86" s="112" t="str">
        <x:v>Sanjay</x:v>
      </x:c>
      <x:c r="E86" s="112" t="str">
        <x:v>spssanjay33@gmail.com</x:v>
      </x:c>
      <x:c r="F86" s="112" t="str">
        <x:v>Completed</x:v>
      </x:c>
      <x:c r="G86" s="112" t="str">
        <x:v>True</x:v>
      </x:c>
      <x:c r="H86" s="112" t="str">
        <x:v>https://github.com/PavithraSharma14/First-PRD/blob/main/report/report.txt</x:v>
      </x:c>
      <x:c r="I86" s="112"/>
    </x:row>
    <x:row r="87" ht="26.399999618530273" hidden="0" customHeight="1">
      <x:c r="A87" s="112" t="n">
        <x:v>10</x:v>
      </x:c>
      <x:c r="B87" s="112" t="str">
        <x:v>Mani Geethika</x:v>
      </x:c>
      <x:c r="C87" s="112" t="str">
        <x:v>Team Leader</x:v>
      </x:c>
      <x:c r="D87" s="112" t="str">
        <x:v>M. Mani Geethika</x:v>
      </x:c>
      <x:c r="E87" s="112" t="str">
        <x:v>manigeethikareddy673@gmail.com</x:v>
      </x:c>
      <x:c r="F87" s="112" t="str">
        <x:v>Completed</x:v>
      </x:c>
      <x:c r="G87" s="112" t="str">
        <x:v>Completed</x:v>
      </x:c>
      <x:c r="H87" s="112" t="str">
        <x:v>https://github.com/MGR368/First-PRD/blob/main/hireready/README.md/src/.idea/group10status.txt%20</x:v>
      </x:c>
      <x:c r="I87" s="112" t="str">
        <x:v>Name appears as M. Mani Geethika in the report</x:v>
      </x:c>
    </x:row>
    <x:row r="88" ht="26.399999618530273" hidden="0" customHeight="1">
      <x:c r="A88" s="112" t="n">
        <x:v>10</x:v>
      </x:c>
      <x:c r="B88" s="112" t="str">
        <x:v>Mani Geethika</x:v>
      </x:c>
      <x:c r="C88" s="112" t="str">
        <x:v>Member</x:v>
      </x:c>
      <x:c r="D88" s="112" t="str">
        <x:v>Indra Kumar M</x:v>
      </x:c>
      <x:c r="E88" s="112" t="str">
        <x:v>indrakumar.m2005@gmail.com</x:v>
      </x:c>
      <x:c r="F88" s="112" t="str">
        <x:v>Completed</x:v>
      </x:c>
      <x:c r="G88" s="112" t="str">
        <x:v>Completed</x:v>
      </x:c>
      <x:c r="H88" s="112" t="str">
        <x:v>https://github.com/MGR368/First-PRD/blob/main/hireready/README.md/src/.idea/group10status.txt%20</x:v>
      </x:c>
      <x:c r="I88" s="112"/>
    </x:row>
    <x:row r="89" ht="26.399999618530273" hidden="0" customHeight="1">
      <x:c r="A89" s="112" t="n">
        <x:v>10</x:v>
      </x:c>
      <x:c r="B89" s="112" t="str">
        <x:v>Mani Geethika</x:v>
      </x:c>
      <x:c r="C89" s="112" t="str">
        <x:v>Member</x:v>
      </x:c>
      <x:c r="D89" s="112" t="str">
        <x:v>Ambati Sunil</x:v>
      </x:c>
      <x:c r="E89" s="112" t="str">
        <x:v>sunilambati.003@gmail.com</x:v>
      </x:c>
      <x:c r="F89" s="112" t="str">
        <x:v>Completed</x:v>
      </x:c>
      <x:c r="G89" s="112" t="str">
        <x:v>Completed</x:v>
      </x:c>
      <x:c r="H89" s="112" t="str">
        <x:v>https://github.com/MGR368/First-PRD/blob/main/hireready/README.md/src/.idea/group10status.txt%20</x:v>
      </x:c>
      <x:c r="I89" s="112"/>
    </x:row>
    <x:row r="90" ht="26.399999618530273" hidden="0" customHeight="1">
      <x:c r="A90" s="112" t="n">
        <x:v>10</x:v>
      </x:c>
      <x:c r="B90" s="112" t="str">
        <x:v>Mani Geethika</x:v>
      </x:c>
      <x:c r="C90" s="112" t="str">
        <x:v>Member</x:v>
      </x:c>
      <x:c r="D90" s="112" t="str">
        <x:v>Anburaj S</x:v>
      </x:c>
      <x:c r="E90" s="112" t="str">
        <x:v>anbu88628@gmail.com</x:v>
      </x:c>
      <x:c r="F90" s="112" t="str">
        <x:v>Completed</x:v>
      </x:c>
      <x:c r="G90" s="112" t="str">
        <x:v>Completed</x:v>
      </x:c>
      <x:c r="H90" s="112" t="str">
        <x:v>https://github.com/MGR368/First-PRD/blob/main/hireready/README.md/src/.idea/group10status.txt%20</x:v>
      </x:c>
      <x:c r="I90" s="112"/>
    </x:row>
    <x:row r="91" ht="26.399999618530273" hidden="0" customHeight="1">
      <x:c r="A91" s="112" t="n">
        <x:v>10</x:v>
      </x:c>
      <x:c r="B91" s="112" t="str">
        <x:v>Mani Geethika</x:v>
      </x:c>
      <x:c r="C91" s="112" t="str">
        <x:v>Member</x:v>
      </x:c>
      <x:c r="D91" s="112" t="str">
        <x:v>S. Kalithisvaran</x:v>
      </x:c>
      <x:c r="E91" s="112" t="str">
        <x:v>kalithisvaran@gmail.com</x:v>
      </x:c>
      <x:c r="F91" s="112" t="str">
        <x:v>Completed</x:v>
      </x:c>
      <x:c r="G91" s="112" t="str">
        <x:v>Completed</x:v>
      </x:c>
      <x:c r="H91" s="112" t="str">
        <x:v>https://github.com/MGR368/First-PRD/blob/main/hireready/README.md/src/.idea/group10status.txt%20</x:v>
      </x:c>
      <x:c r="I91" s="112"/>
    </x:row>
    <x:row r="92" ht="26.399999618530273" hidden="0" customHeight="1">
      <x:c r="A92" s="112" t="n">
        <x:v>10</x:v>
      </x:c>
      <x:c r="B92" s="112" t="str">
        <x:v>Mani Geethika</x:v>
      </x:c>
      <x:c r="C92" s="112" t="str">
        <x:v>Member</x:v>
      </x:c>
      <x:c r="D92" s="112" t="str">
        <x:v>A. Sofiya</x:v>
      </x:c>
      <x:c r="E92" s="112" t="str">
        <x:v>alampursofiya@gmail.com</x:v>
      </x:c>
      <x:c r="F92" s="112" t="str">
        <x:v>Completed</x:v>
      </x:c>
      <x:c r="G92" s="112" t="str">
        <x:v>Completed</x:v>
      </x:c>
      <x:c r="H92" s="112" t="str">
        <x:v>https://github.com/MGR368/First-PRD/blob/main/hireready/README.md/src/.idea/group10status.txt%20</x:v>
      </x:c>
      <x:c r="I92" s="112"/>
    </x:row>
    <x:row r="93" ht="26.399999618530273" hidden="0" customHeight="1">
      <x:c r="A93" s="112" t="n">
        <x:v>10</x:v>
      </x:c>
      <x:c r="B93" s="112" t="str">
        <x:v>Mani Geethika</x:v>
      </x:c>
      <x:c r="C93" s="112" t="str">
        <x:v>Member</x:v>
      </x:c>
      <x:c r="D93" s="112" t="str">
        <x:v>P. Samatha</x:v>
      </x:c>
      <x:c r="E93" s="112" t="str">
        <x:v>samathasam708@gmail.com</x:v>
      </x:c>
      <x:c r="F93" s="112" t="str">
        <x:v>Not Completed</x:v>
      </x:c>
      <x:c r="G93" s="112" t="str">
        <x:v>Partially Completed</x:v>
      </x:c>
      <x:c r="H93" s="112" t="str">
        <x:v>https://github.com/MGR368/First-PRD/blob/main/hireready/README.md/src/.idea/group10status.txt%20</x:v>
      </x:c>
      <x:c r="I93" s="112" t="str">
        <x:v>Executed the code and got output, but did not get the expected output.</x:v>
      </x:c>
    </x:row>
    <x:row r="94" ht="26.399999618530273" hidden="0" customHeight="1">
      <x:c r="A94" s="112" t="n">
        <x:v>10</x:v>
      </x:c>
      <x:c r="B94" s="112" t="str">
        <x:v>Mani Geethika</x:v>
      </x:c>
      <x:c r="C94" s="112" t="str">
        <x:v>Member</x:v>
      </x:c>
      <x:c r="D94" s="112" t="str">
        <x:v>D. Sumaja</x:v>
      </x:c>
      <x:c r="E94" s="112" t="str">
        <x:v>duvvurusumaja@gmail.com</x:v>
      </x:c>
      <x:c r="F94" s="112" t="str">
        <x:v>Not Completed</x:v>
      </x:c>
      <x:c r="G94" s="112" t="str">
        <x:v>Partially Completed</x:v>
      </x:c>
      <x:c r="H94" s="112" t="str">
        <x:v>https://github.com/MGR368/First-PRD/blob/main/hireready/README.md/src/.idea/group10status.txt%20</x:v>
      </x:c>
      <x:c r="I94" s="112" t="str">
        <x:v>Executed the code and got output, but did not get the expected output.</x:v>
      </x:c>
    </x:row>
    <x:row r="95" ht="26.399999618530273" hidden="0" customHeight="1">
      <x:c r="A95" s="112" t="n">
        <x:v>10</x:v>
      </x:c>
      <x:c r="B95" s="112" t="str">
        <x:v>Mani Geethika</x:v>
      </x:c>
      <x:c r="C95" s="112" t="str">
        <x:v>Member</x:v>
      </x:c>
      <x:c r="D95" s="112" t="str">
        <x:v>K. Bhanu Prakash</x:v>
      </x:c>
      <x:c r="E95" s="112" t="str">
        <x:v>reddybhanuprakash77@gmail.com</x:v>
      </x:c>
      <x:c r="F95" s="112" t="str">
        <x:v>Not Completed</x:v>
      </x:c>
      <x:c r="G95" s="112" t="str">
        <x:v>Partially Completed</x:v>
      </x:c>
      <x:c r="H95" s="112" t="str">
        <x:v>https://github.com/MGR368/First-PRD/blob/main/hireready/README.md/src/.idea/group10status.txt%20</x:v>
      </x:c>
      <x:c r="I95" s="112" t="str">
        <x:v>Executed the code and got output, but did not get the expected output.</x:v>
      </x:c>
    </x:row>
    <x:row r="96" ht="26.399999618530273" hidden="0" customHeight="1">
      <x:c r="A96" s="112" t="n">
        <x:v>10</x:v>
      </x:c>
      <x:c r="B96" s="112" t="str">
        <x:v>Mani Geethika</x:v>
      </x:c>
      <x:c r="C96" s="112" t="str">
        <x:v>Member</x:v>
      </x:c>
      <x:c r="D96" s="112" t="str">
        <x:v>S. Nithin Kumar</x:v>
      </x:c>
      <x:c r="E96" s="112" t="str">
        <x:v>sulanithinkumar@gmail.com</x:v>
      </x:c>
      <x:c r="F96" s="112" t="str">
        <x:v>Not Completed</x:v>
      </x:c>
      <x:c r="G96" s="112" t="str">
        <x:v>Partially Completed</x:v>
      </x:c>
      <x:c r="H96" s="112" t="str">
        <x:v>https://github.com/MGR368/First-PRD/blob/main/hireready/README.md/src/.idea/group10status.txt%20</x:v>
      </x:c>
      <x:c r="I96" s="112" t="str">
        <x:v>Executed the code and got output, but did not get the expected output.</x:v>
      </x:c>
    </x:row>
    <x:row r="97" ht="26.399999618530273" hidden="0" customHeight="1">
      <x:c r="A97" s="112" t="n">
        <x:v>10</x:v>
      </x:c>
      <x:c r="B97" s="112" t="str">
        <x:v>Mani Geethika</x:v>
      </x:c>
      <x:c r="C97" s="112" t="str">
        <x:v>Member</x:v>
      </x:c>
      <x:c r="D97" s="112" t="str">
        <x:v>Praveen Pujari</x:v>
      </x:c>
      <x:c r="E97" s="112" t="str">
        <x:v>Praveenpujari879@gmail.com</x:v>
      </x:c>
      <x:c r="F97" s="112" t="str">
        <x:v>Not Completed</x:v>
      </x:c>
      <x:c r="G97" s="112" t="str">
        <x:v>Partially Completed</x:v>
      </x:c>
      <x:c r="H97" s="112" t="str">
        <x:v>https://github.com/MGR368/First-PRD/blob/main/hireready/README.md/src/.idea/group10status.txt%20</x:v>
      </x:c>
      <x:c r="I97" s="112" t="str">
        <x:v>Executed the code and got output, but did not get the expected output.</x:v>
      </x:c>
    </x:row>
    <x:row r="98" ht="15" hidden="0" customHeight="1">
      <x:c r="A98" t="n">
        <x:v>10</x:v>
      </x:c>
      <x:c r="B98" t="str">
        <x:v>Mani Geethika</x:v>
      </x:c>
      <x:c r="C98" t="str">
        <x:v>Member</x:v>
      </x:c>
      <x:c r="D98" t="str">
        <x:v>C. Susmitha</x:v>
      </x:c>
      <x:c r="E98" t="str">
        <x:v>susmithachittiboyina5@gmail.com</x:v>
      </x:c>
      <x:c r="F98" t="str">
        <x:v>Not Completed</x:v>
      </x:c>
      <x:c r="G98" t="str">
        <x:v>Partially Completed</x:v>
      </x:c>
      <x:c r="H98" t="str">
        <x:v>https://github.com/MGR368/First-PRD/blob/main/hireready/README.md/src/.idea/group10status.txt%20</x:v>
      </x:c>
      <x:c r="I98" t="str">
        <x:v>Executed the code and got output, but did not get the expected output.</x:v>
      </x:c>
    </x:row>
    <x:row r="99" ht="15" hidden="0" customHeight="1">
      <x:c r="A99" t="n">
        <x:v>10</x:v>
      </x:c>
      <x:c r="B99" t="str">
        <x:v>Mani Geethika</x:v>
      </x:c>
      <x:c r="C99" t="str">
        <x:v>Member</x:v>
      </x:c>
      <x:c r="D99" t="str">
        <x:v>M. Lahari</x:v>
      </x:c>
      <x:c r="E99" t="str">
        <x:v>laharimandli@gmail.com</x:v>
      </x:c>
      <x:c r="F99" t="str">
        <x:v>Not Completed</x:v>
      </x:c>
      <x:c r="G99" t="str">
        <x:v>Partially Completed</x:v>
      </x:c>
      <x:c r="H99" t="str">
        <x:v>https://github.com/MGR368/First-PRD/blob/main/hireready/README.md/src/.idea/group10status.txt%20</x:v>
      </x:c>
      <x:c r="I99" t="str">
        <x:v>Executed the code and got output, but did not get the expected output.</x:v>
      </x:c>
    </x:row>
    <x:row r="100" ht="15" hidden="0" customHeight="1">
      <x:c r="A100" t="n">
        <x:v>11</x:v>
      </x:c>
      <x:c r="B100" t="str">
        <x:v>Monisha</x:v>
      </x:c>
      <x:c r="C100" t="str">
        <x:v>Team Leader</x:v>
      </x:c>
      <x:c r="D100" t="str">
        <x:v>Monisha Kandari</x:v>
      </x:c>
      <x:c r="E100" t="str">
        <x:v>monichaitu22@gmail.com</x:v>
      </x:c>
      <x:c r="F100" t="str">
        <x:v>Completed</x:v>
      </x:c>
      <x:c r="G100" t="str">
        <x:v>completed</x:v>
      </x:c>
      <x:c r="H100" t="str">
        <x:v>https://github.com/MonishaKandari/First-PRD/blob/main/HireReady/report/report.txt</x:v>
      </x:c>
      <x:c r="I100"/>
    </x:row>
    <x:row r="101" ht="15" hidden="0" customHeight="1">
      <x:c r="A101" t="n">
        <x:v>11</x:v>
      </x:c>
      <x:c r="B101" t="str">
        <x:v>Monisha</x:v>
      </x:c>
      <x:c r="C101" t="str">
        <x:v>Member</x:v>
      </x:c>
      <x:c r="D101" t="str">
        <x:v>Nandini</x:v>
      </x:c>
      <x:c r="E101" t="str">
        <x:v>nandinimallikireddy15@gmail.com</x:v>
      </x:c>
      <x:c r="F101" t="str">
        <x:v>Completed</x:v>
      </x:c>
      <x:c r="G101" t="str">
        <x:v>completed</x:v>
      </x:c>
      <x:c r="H101" t="str">
        <x:v>https://github.com/MonishaKandari/First-PRD/blob/main/HireReady/report/report.txt</x:v>
      </x:c>
      <x:c r="I101"/>
    </x:row>
    <x:row r="102" ht="15" hidden="0" customHeight="1">
      <x:c r="A102" t="n">
        <x:v>11</x:v>
      </x:c>
      <x:c r="B102" t="str">
        <x:v>Monisha</x:v>
      </x:c>
      <x:c r="C102" t="str">
        <x:v>Member</x:v>
      </x:c>
      <x:c r="D102" t="str">
        <x:v>Mithunabm</x:v>
      </x:c>
      <x:c r="E102" t="str">
        <x:v>mithunabm6@gmail.com</x:v>
      </x:c>
      <x:c r="F102" t="str">
        <x:v>Completed</x:v>
      </x:c>
      <x:c r="G102" t="str">
        <x:v>completed</x:v>
      </x:c>
      <x:c r="H102" t="str">
        <x:v>https://github.com/MonishaKandari/First-PRD/blob/main/HireReady/report/report.txt</x:v>
      </x:c>
      <x:c r="I102"/>
    </x:row>
    <x:row r="103" ht="15" hidden="0" customHeight="1">
      <x:c r="A103" t="n">
        <x:v>11</x:v>
      </x:c>
      <x:c r="B103" t="str">
        <x:v>Monisha</x:v>
      </x:c>
      <x:c r="C103" t="str">
        <x:v>Member</x:v>
      </x:c>
      <x:c r="D103" t="str">
        <x:v>Rachana</x:v>
      </x:c>
      <x:c r="E103" t="str">
        <x:v>rachanas058@gmail.com</x:v>
      </x:c>
      <x:c r="F103" t="str">
        <x:v>Completed</x:v>
      </x:c>
      <x:c r="G103" t="str">
        <x:v>completed</x:v>
      </x:c>
      <x:c r="H103" t="str">
        <x:v>https://github.com/MonishaKandari/First-PRD/blob/main/HireReady/report/report.txt</x:v>
      </x:c>
      <x:c r="I103"/>
    </x:row>
    <x:row r="104" ht="15" hidden="0" customHeight="1">
      <x:c r="A104" t="n">
        <x:v>11</x:v>
      </x:c>
      <x:c r="B104" t="str">
        <x:v>Monisha</x:v>
      </x:c>
      <x:c r="C104" t="str">
        <x:v>Member</x:v>
      </x:c>
      <x:c r="D104" t="str">
        <x:v>Ashwini</x:v>
      </x:c>
      <x:c r="E104" t="str">
        <x:v>ashumali0611@gmail.com</x:v>
      </x:c>
      <x:c r="F104" t="str">
        <x:v>Completed</x:v>
      </x:c>
      <x:c r="G104" t="str">
        <x:v>completed</x:v>
      </x:c>
      <x:c r="H104" t="str">
        <x:v>https://github.com/MonishaKandari/First-PRD/blob/main/HireReady/report/report.txt</x:v>
      </x:c>
      <x:c r="I104"/>
    </x:row>
    <x:row r="105" ht="15" hidden="0" customHeight="1">
      <x:c r="A105" t="n">
        <x:v>11</x:v>
      </x:c>
      <x:c r="B105" t="str">
        <x:v>Monisha</x:v>
      </x:c>
      <x:c r="C105" t="str">
        <x:v>Member</x:v>
      </x:c>
      <x:c r="D105" t="str">
        <x:v>Shivender</x:v>
      </x:c>
      <x:c r="E105" t="str">
        <x:v>shivenderjyani330@gmail.com</x:v>
      </x:c>
      <x:c r="F105" t="str">
        <x:v>Completed</x:v>
      </x:c>
      <x:c r="G105" t="str">
        <x:v>completed</x:v>
      </x:c>
      <x:c r="H105" t="str">
        <x:v>https://github.com/MonishaKandari/First-PRD/blob/main/HireReady/report/report.txt</x:v>
      </x:c>
      <x:c r="I105"/>
    </x:row>
    <x:row r="106" ht="15" hidden="0" customHeight="1">
      <x:c r="A106" t="n">
        <x:v>11</x:v>
      </x:c>
      <x:c r="B106" t="str">
        <x:v>Monisha</x:v>
      </x:c>
      <x:c r="C106" t="str">
        <x:v>Member</x:v>
      </x:c>
      <x:c r="D106" t="str">
        <x:v>Darshan</x:v>
      </x:c>
      <x:c r="E106" t="str">
        <x:v>mdarshan6362@gmail.com</x:v>
      </x:c>
      <x:c r="F106" t="str">
        <x:v>Completed</x:v>
      </x:c>
      <x:c r="G106" t="str">
        <x:v>completed</x:v>
      </x:c>
      <x:c r="H106" t="str">
        <x:v>https://github.com/MonishaKandari/First-PRD/blob/main/HireReady/report/report.txt</x:v>
      </x:c>
      <x:c r="I106"/>
    </x:row>
    <x:row r="107" ht="15" hidden="0" customHeight="1">
      <x:c r="A107" t="n">
        <x:v>11</x:v>
      </x:c>
      <x:c r="B107" t="str">
        <x:v>Monisha</x:v>
      </x:c>
      <x:c r="C107" t="str">
        <x:v>Member</x:v>
      </x:c>
      <x:c r="D107" t="str">
        <x:v>Narendra kumar</x:v>
      </x:c>
      <x:c r="E107" t="str">
        <x:v>nnarendrakumar4168@gmail.com</x:v>
      </x:c>
      <x:c r="F107" t="str">
        <x:v>Completed</x:v>
      </x:c>
      <x:c r="G107" t="str">
        <x:v>completed</x:v>
      </x:c>
      <x:c r="H107" t="str">
        <x:v>https://github.com/MonishaKandari/First-PRD/blob/main/HireReady/report/report.txt</x:v>
      </x:c>
      <x:c r="I107"/>
    </x:row>
    <x:row r="108" ht="15" hidden="0" customHeight="1">
      <x:c r="A108" t="n">
        <x:v>11</x:v>
      </x:c>
      <x:c r="B108" t="str">
        <x:v>Monisha</x:v>
      </x:c>
      <x:c r="C108" t="str">
        <x:v>Member</x:v>
      </x:c>
      <x:c r="D108" t="str">
        <x:v>Anil kumar</x:v>
      </x:c>
      <x:c r="E108" t="str">
        <x:v>anilmedikonda37@gmail.com</x:v>
      </x:c>
      <x:c r="F108" t="str">
        <x:v>Completed</x:v>
      </x:c>
      <x:c r="G108" t="str">
        <x:v>completed</x:v>
      </x:c>
      <x:c r="H108" t="str">
        <x:v>https://github.com/MonishaKandari/First-PRD/blob/main/HireReady/report/report.txt</x:v>
      </x:c>
      <x:c r="I108"/>
    </x:row>
    <x:row r="109" ht="15" hidden="0" customHeight="1">
      <x:c r="A109" t="n">
        <x:v>11</x:v>
      </x:c>
      <x:c r="B109" t="str">
        <x:v>Monisha</x:v>
      </x:c>
      <x:c r="C109" t="str">
        <x:v>Member</x:v>
      </x:c>
      <x:c r="D109" t="str">
        <x:v>vinayak</x:v>
      </x:c>
      <x:c r="E109" t="str">
        <x:v>vinayakmm725@gmail.com</x:v>
      </x:c>
      <x:c r="F109" t="str">
        <x:v>Completed</x:v>
      </x:c>
      <x:c r="G109" t="str">
        <x:v>completed</x:v>
      </x:c>
      <x:c r="H109" t="str">
        <x:v>https://github.com/MonishaKandari/First-PRD/blob/main/HireReady/report/report.txt</x:v>
      </x:c>
      <x:c r="I109"/>
    </x:row>
    <x:row r="110" ht="15" hidden="0" customHeight="1">
      <x:c r="A110" t="n">
        <x:v>11</x:v>
      </x:c>
      <x:c r="B110" t="str">
        <x:v>Monisha</x:v>
      </x:c>
      <x:c r="C110" t="str">
        <x:v>Member</x:v>
      </x:c>
      <x:c r="D110" t="str">
        <x:v>Suneel</x:v>
      </x:c>
      <x:c r="E110"/>
      <x:c r="F110" t="str">
        <x:v>Completed</x:v>
      </x:c>
      <x:c r="G110" t="str">
        <x:v>completed</x:v>
      </x:c>
      <x:c r="H110" t="str">
        <x:v>https://github.com/MonishaKandari/First-PRD/blob/main/HireReady/report/report.txt</x:v>
      </x:c>
      <x:c r="I110" t="str">
        <x:v>Email missing in source</x:v>
      </x:c>
    </x:row>
  </x:sheetData>
  <x:mergeCells>
    <x:mergeCell ref="A1:I1"/>
    <x:mergeCell ref="A2:I2"/>
  </x:mergeCells>
  <x:conditionalFormatting sqref="F4:F97">
    <x:cfRule type="expression" dxfId="4" priority="1">
      <x:formula>$F4="Completed"</x:formula>
    </x:cfRule>
    <x:cfRule type="expression" dxfId="5" priority="2">
      <x:formula>$F4="Not Completed"</x:formula>
    </x:cfRule>
  </x:conditionalFormatting>
  <x:conditionalFormatting sqref="F4:F110">
    <x:cfRule type="expression" dxfId="6" priority="3">
      <x:formula>$F4="Completed"</x:formula>
    </x:cfRule>
    <x:cfRule type="expression" dxfId="7" priority="4">
      <x:formula>$F4="Not Completed"</x:formula>
    </x:cfRule>
  </x:conditionalFormatting>
  <x:dataValidations count="2">
    <x:dataValidation type="list" sqref="F4:F97">
      <x:formula1>"Completed,Not Completed"</x:formula1>
    </x:dataValidation>
    <x:dataValidation type="list" sqref="F4:F110">
      <x:formula1>"Completed,Not 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43c24420ea44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8" hidden="0" customWidth="1"/>
    <x:col min="4" max="4" width="38" hidden="0" customWidth="1"/>
    <x:col min="5" max="5" width="18" hidden="0" customWidth="1"/>
    <x:col min="6" max="6" width="62" hidden="0" customWidth="1"/>
  </x:cols>
  <x:sheetData>
    <x:row r="1">
      <x:c r="A1" s="120" t="str">
        <x:v>Students Requiring Follow-up</x:v>
      </x:c>
      <x:c r="B1" s="120"/>
      <x:c r="C1" s="120"/>
      <x:c r="D1" s="120"/>
      <x:c r="E1" s="120"/>
      <x:c r="F1" s="120"/>
    </x:row>
    <x:row r="3">
      <x:c r="A3" s="117" t="str">
        <x:v>Team No.</x:v>
      </x:c>
      <x:c r="B3" s="117" t="str">
        <x:v>Team Leader</x:v>
      </x:c>
      <x:c r="C3" s="117" t="str">
        <x:v>Student</x:v>
      </x:c>
      <x:c r="D3" s="117" t="str">
        <x:v>Email</x:v>
      </x:c>
      <x:c r="E3" s="117" t="str">
        <x:v>Status</x:v>
      </x:c>
      <x:c r="F3" s="117" t="str">
        <x:v>Source URL</x:v>
      </x:c>
    </x:row>
    <x:row r="4">
      <x:c r="A4" s="110" t="n">
        <x:v>2</x:v>
      </x:c>
      <x:c r="B4" s="110" t="str">
        <x:v>N Harshavardhan Reddy</x:v>
      </x:c>
      <x:c r="C4" s="110" t="str">
        <x:v>yallanajaneyulu</x:v>
      </x:c>
      <x:c r="D4" s="110" t="str">
        <x:v>yallanajaneyulugumma@gmail.com</x:v>
      </x:c>
      <x:c r="E4" s="119" t="str">
        <x:v>Not Completed</x:v>
      </x:c>
      <x:c r="F4" s="110" t="str">
        <x:v>https://github.com/HarshavardhanReddy-Nusum/First-PRD/blob/main/report.txt</x:v>
      </x:c>
    </x:row>
    <x:row r="5">
      <x:c r="A5" s="110" t="n">
        <x:v>2</x:v>
      </x:c>
      <x:c r="B5" s="110" t="str">
        <x:v>N Harshavardhan Reddy</x:v>
      </x:c>
      <x:c r="C5" s="110" t="str">
        <x:v>Manoj</x:v>
      </x:c>
      <x:c r="D5" s="110" t="str">
        <x:v>sudhakarr20045@gmail.com</x:v>
      </x:c>
      <x:c r="E5" s="119" t="str">
        <x:v>Not Completed</x:v>
      </x:c>
      <x:c r="F5" s="110" t="str">
        <x:v>https://github.com/HarshavardhanReddy-Nusum/First-PRD/blob/main/report.txt</x:v>
      </x:c>
    </x:row>
    <x:row r="6">
      <x:c r="A6" s="110" t="n">
        <x:v>2</x:v>
      </x:c>
      <x:c r="B6" s="110" t="str">
        <x:v>N Harshavardhan Reddy</x:v>
      </x:c>
      <x:c r="C6" s="110" t="str">
        <x:v>Arjun</x:v>
      </x:c>
      <x:c r="D6" s="110" t="str">
        <x:v>arjunbalagopalan4510@gmail.com</x:v>
      </x:c>
      <x:c r="E6" s="119" t="str">
        <x:v>Not Completed</x:v>
      </x:c>
      <x:c r="F6" s="110" t="str">
        <x:v>https://github.com/HarshavardhanReddy-Nusum/First-PRD/blob/main/report.txt</x:v>
      </x:c>
    </x:row>
    <x:row r="7">
      <x:c r="A7" s="110" t="n">
        <x:v>7</x:v>
      </x:c>
      <x:c r="B7" s="110" t="str">
        <x:v>Bikash Behera</x:v>
      </x:c>
      <x:c r="C7" s="110" t="str">
        <x:v>Mohammed Fahad Khan</x:v>
      </x:c>
      <x:c r="D7" s="110" t="str">
        <x:v>fahad32423khan5426@gmail.com</x:v>
      </x:c>
      <x:c r="E7" s="119" t="str">
        <x:v>Not Completed</x:v>
      </x:c>
      <x:c r="F7" s="110" t="str">
        <x:v>https://github.com/Biku2004/First-PRD/blob/main/Team%20Data.md</x:v>
      </x:c>
    </x:row>
    <x:row r="8">
      <x:c r="A8" s="110" t="n">
        <x:v>8</x:v>
      </x:c>
      <x:c r="B8" s="110" t="str">
        <x:v>Manish Soni</x:v>
      </x:c>
      <x:c r="C8" s="110" t="str">
        <x:v>Shrushti Shivanand Tambe</x:v>
      </x:c>
      <x:c r="D8" s="110" t="str">
        <x:v>shrushtitambe048@gmail.com</x:v>
      </x:c>
      <x:c r="E8" s="119" t="str">
        <x:v>Not Completed</x:v>
      </x:c>
      <x:c r="F8" s="110" t="str">
        <x:v>https://github.com/manish23092003/First-PRD/blob/main/report.txt</x:v>
      </x:c>
    </x:row>
    <x:row r="9">
      <x:c r="A9" t="n">
        <x:v>10</x:v>
      </x:c>
      <x:c r="B9" t="str">
        <x:v>Mani Geethika</x:v>
      </x:c>
      <x:c r="C9" t="str">
        <x:v>P. Samatha</x:v>
      </x:c>
      <x:c r="D9" t="str">
        <x:v>samathasam708@gmail.com</x:v>
      </x:c>
      <x:c r="E9" t="str">
        <x:v>Not Completed</x:v>
      </x:c>
      <x:c r="F9" t="str">
        <x:v>https://github.com/MGR368/First-PRD/blob/main/hireready/README.md/src/.idea/group10status.txt%20</x:v>
      </x:c>
    </x:row>
    <x:row r="10">
      <x:c r="A10" t="n">
        <x:v>10</x:v>
      </x:c>
      <x:c r="B10" t="str">
        <x:v>Mani Geethika</x:v>
      </x:c>
      <x:c r="C10" t="str">
        <x:v>D. Sumaja</x:v>
      </x:c>
      <x:c r="D10" t="str">
        <x:v>duvvurusumaja@gmail.com</x:v>
      </x:c>
      <x:c r="E10" t="str">
        <x:v>Not Completed</x:v>
      </x:c>
      <x:c r="F10" t="str">
        <x:v>https://github.com/MGR368/First-PRD/blob/main/hireready/README.md/src/.idea/group10status.txt%20</x:v>
      </x:c>
    </x:row>
    <x:row r="11">
      <x:c r="A11" t="n">
        <x:v>10</x:v>
      </x:c>
      <x:c r="B11" t="str">
        <x:v>Mani Geethika</x:v>
      </x:c>
      <x:c r="C11" t="str">
        <x:v>K. Bhanu Prakash</x:v>
      </x:c>
      <x:c r="D11" t="str">
        <x:v>reddybhanuprakash77@gmail.com</x:v>
      </x:c>
      <x:c r="E11" t="str">
        <x:v>Not Completed</x:v>
      </x:c>
      <x:c r="F11" t="str">
        <x:v>https://github.com/MGR368/First-PRD/blob/main/hireready/README.md/src/.idea/group10status.txt%20</x:v>
      </x:c>
    </x:row>
    <x:row r="12">
      <x:c r="A12" t="n">
        <x:v>10</x:v>
      </x:c>
      <x:c r="B12" t="str">
        <x:v>Mani Geethika</x:v>
      </x:c>
      <x:c r="C12" t="str">
        <x:v>S. Nithin Kumar</x:v>
      </x:c>
      <x:c r="D12" t="str">
        <x:v>sulanithinkumar@gmail.com</x:v>
      </x:c>
      <x:c r="E12" t="str">
        <x:v>Not Completed</x:v>
      </x:c>
      <x:c r="F12" t="str">
        <x:v>https://github.com/MGR368/First-PRD/blob/main/hireready/README.md/src/.idea/group10status.txt%20</x:v>
      </x:c>
    </x:row>
    <x:row r="13">
      <x:c r="A13" t="n">
        <x:v>10</x:v>
      </x:c>
      <x:c r="B13" t="str">
        <x:v>Mani Geethika</x:v>
      </x:c>
      <x:c r="C13" t="str">
        <x:v>Praveen Pujari</x:v>
      </x:c>
      <x:c r="D13" t="str">
        <x:v>Praveenpujari879@gmail.com</x:v>
      </x:c>
      <x:c r="E13" t="str">
        <x:v>Not Completed</x:v>
      </x:c>
      <x:c r="F13" t="str">
        <x:v>https://github.com/MGR368/First-PRD/blob/main/hireready/README.md/src/.idea/group10status.txt%20</x:v>
      </x:c>
    </x:row>
    <x:row r="14">
      <x:c r="A14" t="n">
        <x:v>10</x:v>
      </x:c>
      <x:c r="B14" t="str">
        <x:v>Mani Geethika</x:v>
      </x:c>
      <x:c r="C14" t="str">
        <x:v>C. Susmitha</x:v>
      </x:c>
      <x:c r="D14" t="str">
        <x:v>susmithachittiboyina5@gmail.com</x:v>
      </x:c>
      <x:c r="E14" t="str">
        <x:v>Not Completed</x:v>
      </x:c>
      <x:c r="F14" t="str">
        <x:v>https://github.com/MGR368/First-PRD/blob/main/hireready/README.md/src/.idea/group10status.txt%20</x:v>
      </x:c>
    </x:row>
    <x:row r="15">
      <x:c r="A15" t="n">
        <x:v>10</x:v>
      </x:c>
      <x:c r="B15" t="str">
        <x:v>Mani Geethika</x:v>
      </x:c>
      <x:c r="C15" t="str">
        <x:v>M. Lahari</x:v>
      </x:c>
      <x:c r="D15" t="str">
        <x:v>laharimandli@gmail.com</x:v>
      </x:c>
      <x:c r="E15" t="str">
        <x:v>Not Completed</x:v>
      </x:c>
      <x:c r="F15" t="str">
        <x:v>https://github.com/MGR368/First-PRD/blob/main/hireready/README.md/src/.idea/group10status.txt%20</x:v>
      </x:c>
    </x:row>
  </x:sheetData>
  <x:mergeCells>
    <x:mergeCell ref="A1:F1"/>
  </x:mergeCells>
  <x:conditionalFormatting sqref="E4:E15">
    <x:cfRule type="expression" dxfId="8" priority="1">
      <x:formula>$E4="Not Completed"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72" hidden="0" customWidth="1"/>
    <x:col min="4" max="4" width="56" hidden="0" customWidth="1"/>
  </x:cols>
  <x:sheetData>
    <x:row r="1">
      <x:c r="A1" s="123" t="str">
        <x:v>Data Quality and Coverage Issues</x:v>
      </x:c>
      <x:c r="B1" s="123"/>
      <x:c r="C1" s="123"/>
      <x:c r="D1" s="123"/>
    </x:row>
    <x:row r="3" ht="15" hidden="0" customHeight="1">
      <x:c r="A3" s="117" t="str">
        <x:v>Team No.</x:v>
      </x:c>
      <x:c r="B3" s="117" t="str">
        <x:v>Issue</x:v>
      </x:c>
      <x:c r="C3" s="117" t="str">
        <x:v>Details</x:v>
      </x:c>
      <x:c r="D3" s="117" t="str">
        <x:v>Repository URL</x:v>
      </x:c>
    </x:row>
    <x:row r="4" ht="34" hidden="0" customHeight="1">
      <x:c r="A4" s="110" t="n">
        <x:v>4</x:v>
      </x:c>
      <x:c r="B4" s="122" t="str">
        <x:v>Missing status report</x:v>
      </x:c>
      <x:c r="C4" s="110" t="str">
        <x:v>Repository opens; no member-status report found. Status cannot be assessed.</x:v>
      </x:c>
      <x:c r="D4" s="110" t="str">
        <x:v>https://github.com/Pavankalyan7898/First-PRD</x:v>
      </x:c>
    </x:row>
    <x:row r="5" ht="34" hidden="0" customHeight="1">
      <x:c r="A5" s="110" t="n">
        <x:v>6</x:v>
      </x:c>
      <x:c r="B5" s="122" t="str">
        <x:v>Repository unavailable</x:v>
      </x:c>
      <x:c r="C5" s="110" t="str">
        <x:v>Repository URL returns Page not found. Status cannot be assessed.</x:v>
      </x:c>
      <x:c r="D5" s="110" t="str">
        <x:v>https://github.com/l-nandini/First-PRD</x:v>
      </x:c>
    </x:row>
    <x:row r="6" ht="34" hidden="0" customHeight="1">
      <x:c r="A6" s="110" t="n">
        <x:v>10</x:v>
      </x:c>
      <x:c r="B6" s="122" t="str">
        <x:v>Status normalization</x:v>
      </x:c>
      <x:c r="C6" s="110" t="str">
        <x:v>7 students marked Partially Completed; counted as Not Completed. Raw status retained.</x:v>
      </x:c>
      <x:c r="D6" s="110" t="str">
        <x:v>https://github.com/MGR368/First-PRD/blob/main/hireready/README.md/src/.idea/group10status.txt%20</x:v>
      </x:c>
    </x:row>
    <x:row r="7" ht="34" hidden="0" customHeight="1">
      <x:c r="A7" s="110" t="n">
        <x:v>7</x:v>
      </x:c>
      <x:c r="B7" s="122" t="str">
        <x:v>Team-leader mismatch</x:v>
      </x:c>
      <x:c r="C7" s="110" t="str">
        <x:v>Day 2 TL: Bikash Behera. Team Data.md TL: Mohammed Fahad Khan. Day 2 TL retained.</x:v>
      </x:c>
      <x:c r="D7" s="110" t="str">
        <x:v>https://github.com/Biku2004/First-PRD</x:v>
      </x:c>
    </x:row>
    <x:row r="8" ht="34" hidden="0" customHeight="1">
      <x:c r="A8" s="110" t="n">
        <x:v>1</x:v>
      </x:c>
      <x:c r="B8" s="122" t="str">
        <x:v>Sequence gap</x:v>
      </x:c>
      <x:c r="C8" s="110" t="str">
        <x:v>The report jumps from serial 03 to 05; totals use the 11 actual student rows provided.</x:v>
      </x:c>
      <x:c r="D8" s="110" t="str">
        <x:v>https://github.com/Shivam10m/First-PRD</x:v>
      </x:c>
    </x:row>
    <x:row r="9" ht="34" hidden="0" customHeight="1">
      <x:c r="A9" s="110" t="n">
        <x:v>8</x:v>
      </x:c>
      <x:c r="B9" s="122" t="str">
        <x:v>Possible email typo</x:v>
      </x:c>
      <x:c r="C9" s="110" t="str">
        <x:v>Velvlauri Thejaswini's email ends in .vom in the source report; preserved exactly for auditability.</x:v>
      </x:c>
      <x:c r="D9" s="110" t="str">
        <x:v>https://github.com/manish23092003/First-PRD</x:v>
      </x:c>
    </x:row>
    <x:row r="10" ht="34" hidden="0" customHeight="1">
      <x:c r="A10" s="110" t="n">
        <x:v>11</x:v>
      </x:c>
      <x:c r="B10" s="122" t="str">
        <x:v>Missing email</x:v>
      </x:c>
      <x:c r="C10" s="110" t="str">
        <x:v>Suneel is marked completed, but no email is supplied in the source report.</x:v>
      </x:c>
      <x:c r="D10" s="110" t="str">
        <x:v>https://github.com/MonishaKandari/First-PRD</x:v>
      </x:c>
    </x:row>
  </x:sheetData>
  <x:mergeCells>
    <x:mergeCell ref="A1:D1"/>
  </x:mergeCells>
  <x:pageMargins left="0.7" right="0.7" top="0.75" bottom="0.75" header="0.3" footer="0.3"/>
</x:worksheet>
</file>